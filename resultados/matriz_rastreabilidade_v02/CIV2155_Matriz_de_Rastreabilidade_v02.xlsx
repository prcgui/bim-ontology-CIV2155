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3f310ff17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" sheetId="1" r:id="R4a8b25cd847b47d6"/>
    <x:sheet xmlns:r="http://schemas.openxmlformats.org/officeDocument/2006/relationships" name="Evidencias" sheetId="2" r:id="R9d358a1729bc4ee2"/>
    <x:sheet xmlns:r="http://schemas.openxmlformats.org/officeDocument/2006/relationships" name="Metodo e Fontes" sheetId="3" r:id="R967e70bde2af4531"/>
    <x:sheet xmlns:r="http://schemas.openxmlformats.org/officeDocument/2006/relationships" name="Cozinha CQ2" sheetId="4" r:id="R5edc8e0bc24b40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"/>
    <x:numFmt numFmtId="202" formatCode="0.000000"/>
  </x:numFmts>
  <x:fonts count="6">
    <x:font>
      <x:sz val="11"/>
      <x:name val="Carlito"/>
    </x:font>
    <x:font>
      <x:sz val="11"/>
      <x:color rgb="FF303030"/>
      <x:name val="Arial"/>
    </x:font>
    <x:font>
      <x:b/>
      <x:sz val="16"/>
      <x:color rgb="FF303030"/>
      <x:name val="Arial"/>
    </x:font>
    <x:font>
      <x:sz val="11"/>
      <x:color rgb="FF666666"/>
      <x:name val="Arial"/>
    </x:font>
    <x:font>
      <x:b/>
      <x:sz val="11"/>
      <x:color rgb="FFFFFFFF"/>
      <x:name val="Arial"/>
    </x:font>
    <x:font>
      <x:b/>
      <x:sz val="11"/>
      <x:color rgb="FF30303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4F3F0"/>
      </x:patternFill>
    </x:fill>
    <x:fill>
      <x:patternFill patternType="solid">
        <x:fgColor rgb="FFFFFFFF"/>
      </x:patternFill>
    </x:fill>
    <x:fill>
      <x:patternFill patternType="solid">
        <x:fgColor rgb="FF303030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E6A16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2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B4D0B"/>
      </x:font>
      <x:fill>
        <x:patternFill patternType="solid">
          <x:bgColor rgb="FFFCEAD6"/>
        </x:patternFill>
      </x:fill>
    </x:dxf>
    <x:dxf>
      <x:font>
        <x:color rgb="FF6B5800"/>
      </x:font>
      <x:fill>
        <x:patternFill patternType="solid">
          <x:bgColor rgb="FFFFF2CC"/>
        </x:patternFill>
      </x:fill>
    </x:dxf>
    <x:dxf>
      <x:font>
        <x:color rgb="FF284867"/>
      </x:font>
      <x:fill>
        <x:patternFill patternType="solid">
          <x:bgColor rgb="FFEAF0F7"/>
        </x:patternFill>
      </x:fill>
    </x:dxf>
    <x:dxf>
      <x:font>
        <x:b/>
        <x:color rgb="FF9B4D0B"/>
      </x:font>
      <x:fill>
        <x:patternFill patternType="solid">
          <x:bgColor rgb="FFFCEA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01f68e6d7449f" /><Relationship Type="http://schemas.openxmlformats.org/officeDocument/2006/relationships/theme" Target="/xl/theme/theme1.xml" Id="R336f59fa86f94aab" /><Relationship Type="http://schemas.openxmlformats.org/officeDocument/2006/relationships/sharedStrings" Target="/xl/sharedStrings.xml" Id="R9bdb6f8de8c148ca" /><Relationship Type="http://schemas.openxmlformats.org/officeDocument/2006/relationships/worksheet" Target="/xl/worksheets/sheet1.xml" Id="R4a8b25cd847b47d6" /><Relationship Type="http://schemas.openxmlformats.org/officeDocument/2006/relationships/worksheet" Target="/xl/worksheets/sheet2.xml" Id="R9d358a1729bc4ee2" /><Relationship Type="http://schemas.openxmlformats.org/officeDocument/2006/relationships/worksheet" Target="/xl/worksheets/sheet3.xml" Id="R967e70bde2af4531" /><Relationship Type="http://schemas.openxmlformats.org/officeDocument/2006/relationships/worksheet" Target="/xl/worksheets/sheet4.xml" Id="R5edc8e0bc24b40fc" /></Relationships>
</file>

<file path=xl/tables/table1.xml><?xml version="1.0" encoding="utf-8"?>
<x:table xmlns:x="http://schemas.openxmlformats.org/spreadsheetml/2006/main" id="1" name="MatrizRastreabilidade" displayName="MatrizRastreabilidade" ref="A7:K16" headerRowCount="1" totalsRowCount="0" totalsRowShown="0">
  <x:tableColumns count="11">
    <x:tableColumn id="1" name="ID"/>
    <x:tableColumn id="2" name="Pergunta"/>
    <x:tableColumn id="3" name="Requisito de informação"/>
    <x:tableColumn id="4" name="Evidência no IFC"/>
    <x:tableColumn id="5" name="Evidência no RDF"/>
    <x:tableColumn id="6" name="Situação"/>
    <x:tableColumn id="7" name="Limitação e alcance"/>
    <x:tableColumn id="8" name="Condição necessária"/>
    <x:tableColumn id="9" name="Ementa relacionada"/>
    <x:tableColumn id="10" name="Registros de evidência"/>
    <x:tableColumn id="11" name="Referências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EvidenciasMatriz" displayName="EvidenciasMatriz" ref="A5:H46" headerRowCount="1" totalsRowCount="0" totalsRowShown="0">
  <x:tableColumns count="8">
    <x:tableColumn id="1" name="ID"/>
    <x:tableColumn id="2" name="Fonte"/>
    <x:tableColumn id="3" name="Indicador"/>
    <x:tableColumn id="4" name="Valor"/>
    <x:tableColumn id="5" name="Unidade"/>
    <x:tableColumn id="6" name="Procedimento"/>
    <x:tableColumn id="7" name="Alcance"/>
    <x:tableColumn id="8" name="Arquivo identificado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FontesMatriz" displayName="FontesMatriz" ref="A16:F38" headerRowCount="1" totalsRowCount="0" totalsRowShown="0">
  <x:tableColumns count="6">
    <x:tableColumn id="1" name="ID"/>
    <x:tableColumn id="2" name="Referência ou fonte empírica"/>
    <x:tableColumn id="3" name="Acesso original"/>
    <x:tableColumn id="4" name="Trecho ou localização"/>
    <x:tableColumn id="5" name="Aplicação e alcance"/>
    <x:tableColumn id="6" name="Arquivo na pasta do projeto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ConferenciaCozinha" displayName="ConferenciaCozinha" ref="A8:M16" headerRowCount="1" totalsRowCount="0" totalsRowShown="0">
  <x:tableColumns count="13">
    <x:tableColumn id="1" name="Caso"/>
    <x:tableColumn id="2" name="Parede"/>
    <x:tableColumn id="3" name="Classe do preenchimento"/>
    <x:tableColumn id="4" name="Nome"/>
    <x:tableColumn id="5" name="Volume comum da abertura (m³)"/>
    <x:tableColumn id="6" name="Separação em Y (m)"/>
    <x:tableColumn id="7" name="Teste de faces"/>
    <x:tableColumn id="8" name="Diagnóstico inicial"/>
    <x:tableColumn id="9" name="Conferência independente"/>
    <x:tableColumn id="10" name="Referência / observação"/>
    <x:tableColumn id="11" name="Registro da conferência"/>
    <x:tableColumn id="12" name="GUID da abertura"/>
    <x:tableColumn id="13" name="GUID do preenchimento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f3da7acfee4a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9fb4445e794f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171ca67f6340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311ca0de5449f3" /></Relationships>
</file>

<file path=xl/worksheets/sheet1.xml><?xml version="1.0" encoding="utf-8"?>
<x:worksheet xmlns:x="http://schemas.openxmlformats.org/spreadsheetml/2006/main">
  <x:sheetPr>
    <x:tabColor rgb="FFCE6A16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8.130000114440918" hidden="0" customWidth="1"/>
    <x:col min="2" max="2" width="11.25" hidden="0" customWidth="1"/>
    <x:col min="3" max="3" width="33.75" hidden="0" customWidth="1"/>
    <x:col min="4" max="4" width="41.25" hidden="0" customWidth="1"/>
    <x:col min="5" max="5" width="45" hidden="0" customWidth="1"/>
    <x:col min="6" max="6" width="23.1299991607666" hidden="0" customWidth="1"/>
    <x:col min="7" max="7" width="48.75" hidden="0" customWidth="1"/>
    <x:col min="8" max="8" width="48.75" hidden="0" customWidth="1"/>
    <x:col min="9" max="9" width="30" hidden="0" customWidth="1"/>
    <x:col min="10" max="10" width="28.75" hidden="0" customWidth="1"/>
    <x:col min="11" max="11" width="21.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7" customHeight="1">
      <x:c r="A2" s="3" t="str">
        <x:v>Matriz de rastreabilidade informacional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5" t="str">
        <x:v>Versão 2.0 · 29/10/2026 · CQ2: conferência da cozinha; sem novo ensaio com SMT.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>
      <x:c r="A4" s="4" t="str">
        <x:v>R03, R04, R06 e R09 atualizados. Os demais requisitos e a versão 1.0 foram preservados.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4" t="str">
        <x:v>Conferência interna IFC–RDF e inspeção das malhas; validação arquitetônica independente ainda não realizada.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40" customHeight="1">
      <x:c r="A7" s="15" t="str">
        <x:v>ID</x:v>
      </x:c>
      <x:c r="B7" s="15" t="str">
        <x:v>Pergunta</x:v>
      </x:c>
      <x:c r="C7" s="15" t="str">
        <x:v>Requisito de informação</x:v>
      </x:c>
      <x:c r="D7" s="15" t="str">
        <x:v>Evidência no IFC</x:v>
      </x:c>
      <x:c r="E7" s="15" t="str">
        <x:v>Evidência no RDF</x:v>
      </x:c>
      <x:c r="F7" s="15" t="str">
        <x:v>Situação</x:v>
      </x:c>
      <x:c r="G7" s="15" t="str">
        <x:v>Limitação e alcance</x:v>
      </x:c>
      <x:c r="H7" s="15" t="str">
        <x:v>Condição necessária</x:v>
      </x:c>
      <x:c r="I7" s="15" t="str">
        <x:v>Ementa relacionada</x:v>
      </x:c>
      <x:c r="J7" s="15" t="str">
        <x:v>Registros de evidência</x:v>
      </x:c>
      <x:c r="K7" s="15" t="str">
        <x:v>Referências</x:v>
      </x:c>
    </x:row>
    <x:row r="8" ht="80" customHeight="1">
      <x:c r="A8" s="18" t="str">
        <x:v>R01</x:v>
      </x:c>
      <x:c r="B8" s="18" t="str">
        <x:v>CQ1</x:v>
      </x:c>
      <x:c r="C8" s="16" t="str">
        <x:v>Identificar os ambientes e recuperar seus nomes descritivos.</x:v>
      </x:c>
      <x:c r="D8" s="8" t="str">
        <x:v>41 IfcSpace no arquivo arquitetônico. Os espaços são identificados por GlobalId.</x:v>
      </x:c>
      <x:c r="E8" s="8" t="str">
        <x:v>No recorte inicial, 41 ambientes pareados por GUID e 41 nomes descritivos iguais ao IFC.</x:v>
      </x:c>
      <x:c r="F8" s="8" t="str">
        <x:v>Atendido no recorte</x:v>
      </x:c>
      <x:c r="G8" s="8" t="str">
        <x:v>Resultado restrito aos 41 espaços e ao campo LongName. Não comprova adequação de todas as propriedades.</x:v>
      </x:c>
      <x:c r="H8" s="8" t="str">
        <x:v>Manter os identificadores e a referência à versão do modelo nas análises seguintes.</x:v>
      </x:c>
      <x:c r="I8" s="8" t="str">
        <x:v>Requisitos BIM do cliente; comunicação e nomenclatura.</x:v>
      </x:c>
      <x:c r="J8" s="8" t="str">
        <x:v>E01; E09; E10</x:v>
      </x:c>
      <x:c r="K8" s="8" t="str">
        <x:v>M03; M04; T04; T05</x:v>
      </x:c>
    </x:row>
    <x:row r="9" ht="80" customHeight="1">
      <x:c r="A9" s="19" t="str">
        <x:v>R02</x:v>
      </x:c>
      <x:c r="B9" s="19" t="str">
        <x:v>CQ1</x:v>
      </x:c>
      <x:c r="C9" s="17" t="str">
        <x:v>Associar cada ambiente ao pavimento correspondente.</x:v>
      </x:c>
      <x:c r="D9" s="10" t="str">
        <x:v>A leitura do agregado ou contêiner espacial procura explicitamente IfcBuildingStorey para cada IfcSpace.</x:v>
      </x:c>
      <x:c r="E9" s="10" t="str">
        <x:v>41 vínculos diretos bot:hasSpace no recorte inicial coincidem com os pavimentos identificados no IFC.</x:v>
      </x:c>
      <x:c r="F9" s="10" t="str">
        <x:v>Atendido no recorte</x:v>
      </x:c>
      <x:c r="G9" s="10" t="str">
        <x:v>Verificação de ambiente-pavimento no recorte inicial. Não estabelece correspondência entre pavimentos de disciplinas diferentes.</x:v>
      </x:c>
      <x:c r="H9" s="10" t="str">
        <x:v>Preservar a distinção entre vínculo hierárquico dentro de um modelo e correspondência entre modelos.</x:v>
      </x:c>
      <x:c r="I9" s="10" t="str">
        <x:v>Coordenação BIM; interoperabilidade/OpenBIM.</x:v>
      </x:c>
      <x:c r="J9" s="10" t="str">
        <x:v>E11; D03</x:v>
      </x:c>
      <x:c r="K9" s="10" t="str">
        <x:v>T01; T04; T05</x:v>
      </x:c>
    </x:row>
    <x:row r="10" ht="110" customHeight="1">
      <x:c r="A10" s="18" t="str">
        <x:v>R03</x:v>
      </x:c>
      <x:c r="B10" s="18" t="str">
        <x:v>CQ2</x:v>
      </x:c>
      <x:c r="C10" s="16" t="str">
        <x:v>Reconhecer quais paredes delimitam cada ambiente.</x:v>
      </x:c>
      <x:c r="D10" s="8" t="str">
        <x:v>457 paredes e 41 espaços. Os 41 espaços têm representação declarada. Não há IfcRelSpaceBoundary.</x:v>
      </x:c>
      <x:c r="E10" s="8" t="str">
        <x:v>Notebook 1 v03: 135 adjacências geométricas no ensaio dos 41 ambientes. Na cozinha: 10 paredes com aresta, dentre 34 pré-selecionadas. A completude das paredes delimitadoras não foi demonstrada.</x:v>
      </x:c>
      <x:c r="F10" s="8" t="str">
        <x:v>Parcialmente verificado</x:v>
      </x:c>
      <x:c r="G10" s="8" t="str">
        <x:v>As relações são derivadas de malhas e limiares; não há padrão-ouro independente. A parede 3BgFgAEMH1AR1k70kqmmGX foi excluída por sobreposição volumétrica e possui quatro aberturas de janelas que intersectam o volume da cozinha. Isso exige diagnóstico, não associação automática.</x:v>
      </x:c>
      <x:c r="H10" s="8" t="str">
        <x:v>Definir que relação se pretende representar, a parcela de cada parede por ambiente e um critério independente de cobertura. Documentar influência da triangulação e das tolerâncias.</x:v>
      </x:c>
      <x:c r="I10" s="8" t="str">
        <x:v>Requisitos BIM do cliente; coordenação; interface estrutura-arquitetura.</x:v>
      </x:c>
      <x:c r="J10" s="8" t="str">
        <x:v>E30; E31; E35; E36; E40; D07; D08</x:v>
      </x:c>
      <x:c r="K10" s="8" t="str">
        <x:v>M03; M04; T01; G01; G02</x:v>
      </x:c>
    </x:row>
    <x:row r="11" ht="110" customHeight="1">
      <x:c r="A11" s="19" t="str">
        <x:v>R04</x:v>
      </x:c>
      <x:c r="B11" s="19" t="str">
        <x:v>CQ2</x:v>
      </x:c>
      <x:c r="C11" s="17" t="str">
        <x:v>Relacionar portas às paredes por meio das aberturas identificadas no IFC.</x:v>
      </x:c>
      <x:c r="D11" s="10" t="str">
        <x:v>53 portas. Foram reconhecidas 45 cadeias IfcWall-IfcOpeningElement-IfcDoor usando IfcRelVoidsElement e IfcRelFillsElement.</x:v>
      </x:c>
      <x:c r="E11" s="10" t="str">
        <x:v>Conferência da cozinha: 8 cadeias de abertura/preenchimento, com 4 IfcDoor, 3 IfcWindow e 1 IfcWall. As 14 linhas OPTIONAL (8 cadeias + 6 paredes sem abertura) coincidem entre IFC e RDF. A03 e A04 estão fora do volume espacial da cozinha.</x:v>
      </x:c>
      <x:c r="F11" s="10" t="str">
        <x:v>Parcialmente verificado</x:v>
      </x:c>
      <x:c r="G11" s="10" t="str">
        <x:v>A cadeia declarada hospedeiro-abertura-preenchimento está preservada para as paredes selecionadas. Não identifica, por si, qual cômodo é atendido. Os 45 pares do filtro IfcWall e as 53 portas da inspeção histórica não são reavaliados integralmente neste piloto.</x:v>
      </x:c>
      <x:c r="H11" s="10" t="str">
        <x:v>Representar a associação da abertura à parcela pertinente da parede/ambiente, distinguindo topologia declarada, localização e função. IfcWall como preenchimento não é classificado como erro apenas por seu tipo.</x:v>
      </x:c>
      <x:c r="I11" s="10" t="str">
        <x:v>Comunicação e nomenclatura; coordenação BIM.</x:v>
      </x:c>
      <x:c r="J11" s="10" t="str">
        <x:v>E32; E33; E34; E38; E39; D08</x:v>
      </x:c>
      <x:c r="K11" s="10" t="str">
        <x:v>T01; T03; T05; G01; G02</x:v>
      </x:c>
    </x:row>
    <x:row r="12" ht="80" customHeight="1">
      <x:c r="A12" s="18" t="str">
        <x:v>R05</x:v>
      </x:c>
      <x:c r="B12" s="18" t="str">
        <x:v>CQ3</x:v>
      </x:c>
      <x:c r="C12" s="16" t="str">
        <x:v>Identificar os elementos estruturais usados na pergunta de integração.</x:v>
      </x:c>
      <x:c r="D12" s="8" t="str">
        <x:v>2518 IfcBeam no SMT, com representação declarada. O SMT contém zero IfcSpace.</x:v>
      </x:c>
      <x:c r="E12" s="8" t="str">
        <x:v>2518 vigas possuem correspondência única de GUID na saída RDF estrutural.</x:v>
      </x:c>
      <x:c r="F12" s="8" t="str">
        <x:v>Atendido no recorte</x:v>
      </x:c>
      <x:c r="G12" s="8" t="str">
        <x:v>A identificação das vigas é verificada. A adequação de suas geometrias e a associação a ambientes não são demonstradas por essa contagem.</x:v>
      </x:c>
      <x:c r="H12" s="8" t="str">
        <x:v>Referenciar os ambientes da arquitetura e os elementos do SMT preservando a origem de cada recurso. Não é necessário duplicar os espaços no SMT.</x:v>
      </x:c>
      <x:c r="I12" s="8" t="str">
        <x:v>Interface estrutura-arquitetura; interoperabilidade/OpenBIM.</x:v>
      </x:c>
      <x:c r="J12" s="8" t="str">
        <x:v>E15; E16; E17; E18</x:v>
      </x:c>
      <x:c r="K12" s="8" t="str">
        <x:v>M04; T01; T04; T05</x:v>
      </x:c>
    </x:row>
    <x:row r="13" ht="110" customHeight="1">
      <x:c r="A13" s="19" t="str">
        <x:v>R06</x:v>
      </x:c>
      <x:c r="B13" s="19" t="str">
        <x:v>CQ3</x:v>
      </x:c>
      <x:c r="C13" s="17" t="str">
        <x:v>Disponibilizar evidência espacial suficiente para avaliar a relação elemento-ambiente.</x:v>
      </x:c>
      <x:c r="D13" s="10" t="str">
        <x:v>A arquitetura tem 41 espaços com representação e posicionamento declarados. As 2.518 vigas SMT possuem representação declarada.</x:v>
      </x:c>
      <x:c r="E13" s="10" t="str">
        <x:v>Notebook 1 v03: 2.109 malhas XYZ em GEOM/TIN Z no RDF arquitetônico, incluindo os 41 espaços. Três paredes sem malha estão registradas. A geometria RDF do SMT e seu alinhamento com a arquitetura não foram reavaliados.</x:v>
      </x:c>
      <x:c r="F13" s="10" t="str">
        <x:v>Parcialmente verificado</x:v>
      </x:c>
      <x:c r="G13" s="10" t="str">
        <x:v>A disponibilidade geométrica arquitetônica foi ampliada. Malhas trianguladas e coordenadas no referencial do projeto não demonstram exatidão física, completude arquitetônica ou compatibilidade entre disciplinas.</x:v>
      </x:c>
      <x:c r="H13" s="10" t="str">
        <x:v>Especificar geometria suficiente para a relação desejada, tolerâncias, unidades, origem e referencial comum. Manter separadas a validação da arquitetura e a comparação futura com SMT.</x:v>
      </x:c>
      <x:c r="I13" s="10" t="str">
        <x:v>Requisitos BIM do cliente; integração com análise estrutural; OpenBIM.</x:v>
      </x:c>
      <x:c r="J13" s="10" t="str">
        <x:v>E40; E41; D07; D08</x:v>
      </x:c>
      <x:c r="K13" s="10" t="str">
        <x:v>T01; T02; G01; G02; G03</x:v>
      </x:c>
    </x:row>
    <x:row r="14" ht="80" customHeight="1">
      <x:c r="A14" s="18" t="str">
        <x:v>R07</x:v>
      </x:c>
      <x:c r="B14" s="18" t="str">
        <x:v>CQ3</x:v>
      </x:c>
      <x:c r="C14" s="16" t="str">
        <x:v>Estabelecer um referencial espacial compatível para comparar disciplinas.</x:v>
      </x:c>
      <x:c r="D14" s="8" t="str">
        <x:v>Fatores de comprimento para metro: arquitetura 1; SMT 0,001. O diagnóstico anterior registra cotas declaradas diferentes para COBERTURA.</x:v>
      </x:c>
      <x:c r="E14" s="8" t="str">
        <x:v>Os grafos e seus registros mantêm as disciplinas separadas. Não há evidência de reconciliação dos referenciais.</x:v>
      </x:c>
      <x:c r="F14" s="8" t="str">
        <x:v>Não examinado</x:v>
      </x:c>
      <x:c r="G14" s="8" t="str">
        <x:v>Conversão de unidades e comparação de cotas declaradas não comprovam compatibilidade de posicionamentos globais, rotações ou origens.</x:v>
      </x:c>
      <x:c r="H14" s="8" t="str">
        <x:v>Verificar os posicionamentos e a transformação entre os referenciais antes de qualquer inferência geométrica. Nenhum alinhamento será implementado neste estudo.</x:v>
      </x:c>
      <x:c r="I14" s="8" t="str">
        <x:v>Integração BIM e análise estrutural; coordenação BIM; OpenBIM.</x:v>
      </x:c>
      <x:c r="J14" s="8" t="str">
        <x:v>E19; E20; D06; pavimentos_candidatos.csv</x:v>
      </x:c>
      <x:c r="K14" s="8" t="str">
        <x:v>M04; T04</x:v>
      </x:c>
    </x:row>
    <x:row r="15" ht="80" customHeight="1">
      <x:c r="A15" s="19" t="str">
        <x:v>R08</x:v>
      </x:c>
      <x:c r="B15" s="19" t="str">
        <x:v>CQ3</x:v>
      </x:c>
      <x:c r="C15" s="17" t="str">
        <x:v>Demonstrar quais espaços são atravessados por cada elemento estrutural.</x:v>
      </x:c>
      <x:c r="D15" s="10" t="str">
        <x:v>Ambientes e vigas provêm de modelos distintos. A ausência de IfcSpace no SMT não impede utilizar os espaços arquitetônicos como referência.</x:v>
      </x:c>
      <x:c r="E15" s="10" t="str">
        <x:v>As saídas permanecem separadas. A inspeção não calcula interseções nem estabelece relações entre vigas SMT e ambientes arquitetônicos.</x:v>
      </x:c>
      <x:c r="F15" s="10" t="str">
        <x:v>Não demonstrado</x:v>
      </x:c>
      <x:c r="G15" s="10" t="str">
        <x:v>Zero GlobalIds compartilhados não constitui erro por si só e não impede relacionar entidades diferentes. Nomes iguais também não comprovam equivalência.</x:v>
      </x:c>
      <x:c r="H15" s="10" t="str">
        <x:v>Definir o significado de atravessar, os critérios de aceitação e a origem da evidência. Uma viga poderá ter relação com mais de um ambiente. Implementação fora do escopo.</x:v>
      </x:c>
      <x:c r="I15" s="10" t="str">
        <x:v>Interface estrutura-arquitetura; coordenação BIM; interoperabilidade.</x:v>
      </x:c>
      <x:c r="J15" s="10" t="str">
        <x:v>E29; D06; limites da inspeção</x:v>
      </x:c>
      <x:c r="K15" s="10" t="str">
        <x:v>M01; M03; M04; T01</x:v>
      </x:c>
    </x:row>
    <x:row r="16" ht="110" customHeight="1">
      <x:c r="A16" s="18" t="str">
        <x:v>R09</x:v>
      </x:c>
      <x:c r="B16" s="18" t="str">
        <x:v>CQ1-CQ3</x:v>
      </x:c>
      <x:c r="C16" s="16" t="str">
        <x:v>Verificar se os critérios de avaliação cobrem as perguntas de competência.</x:v>
      </x:c>
      <x:c r="D16" s="8" t="str">
        <x:v>A matriz explicita requisitos distintos para identificação, vínculos hierárquicos, relações arquitetônicas e relações entre disciplinas.</x:v>
      </x:c>
      <x:c r="E16" s="8" t="str">
        <x:v>A aprovação SHACL no Notebook 1 v03 é restrita às regras declaradas. A CQ2 revelou duas aberturas espacialmente separadas da cozinha na cadeia via parede e aberturas candidatas fora do filtro de paredes qualificadas.</x:v>
      </x:c>
      <x:c r="F16" s="8" t="str">
        <x:v>Parcialmente verificado</x:v>
      </x:c>
      <x:c r="G16" s="8" t="str">
        <x:v>Fidelidade de identificadores, aprovação SHACL e passagem em testes geométricos não comprovam que a consulta responda à pergunta arquitetônica pretendida. Conferência interna não é validação independente.</x:v>
      </x:c>
      <x:c r="H16" s="8" t="str">
        <x:v>Relacionar as questões de competência aos predicados, evidências e controles correspondentes; incluir testemunhos de inclusão indevida e de cobertura indeterminada, sem corrigir automaticamente o modelo.</x:v>
      </x:c>
      <x:c r="I16" s="8" t="str">
        <x:v>Requisitos BIM do cliente; panorama ISO 19650; coordenação BIM.</x:v>
      </x:c>
      <x:c r="J16" s="8" t="str">
        <x:v>E34; E35; E36; E38; D07; D08</x:v>
      </x:c>
      <x:c r="K16" s="8" t="str">
        <x:v>M01; M02; M03; V01; G01; G02</x:v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</x:sheetData>
  <x:conditionalFormatting sqref="F8:F16">
    <x:cfRule type="expression" dxfId="0" priority="1">
      <x:formula>$F8="Não demonstrado"</x:formula>
    </x:cfRule>
    <x:cfRule type="expression" dxfId="1" priority="2">
      <x:formula>$F8="Não examinado"</x:formula>
    </x:cfRule>
    <x:cfRule type="expression" dxfId="2" priority="3">
      <x:formula>$F8="Parcialmente verificado"</x:formula>
    </x:cfRule>
  </x:conditionalFormatting>
  <x:dataValidations count="1">
    <x:dataValidation type="list" sqref="F8:F16">
      <x:formula1>"Atendido no recorte,Parcialmente verificado,Não demonstrado,Não examinado"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f3da7acfee4a8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8.75" hidden="0" customWidth="1"/>
    <x:col min="2" max="2" width="10" hidden="0" customWidth="1"/>
    <x:col min="3" max="3" width="38.75" hidden="0" customWidth="1"/>
    <x:col min="4" max="4" width="12.5" hidden="0" customWidth="1"/>
    <x:col min="5" max="5" width="18.1299991607666" hidden="0" customWidth="1"/>
    <x:col min="6" max="6" width="50" hidden="0" customWidth="1"/>
    <x:col min="7" max="7" width="53.130001068115234" hidden="0" customWidth="1"/>
    <x:col min="8" max="8" width="72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3" t="str">
        <x:v>Evidências da inspeção</x:v>
      </x:c>
      <x:c r="B2" s="2"/>
      <x:c r="C2" s="2"/>
      <x:c r="D2" s="2"/>
      <x:c r="E2" s="2"/>
      <x:c r="F2" s="2"/>
      <x:c r="G2" s="2"/>
      <x:c r="H2" s="2"/>
    </x:row>
    <x:row r="3" ht="25" customHeight="1">
      <x:c r="A3" s="5" t="str">
        <x:v>E01–E29: histórico preservado. E30–E41: conferência da cozinha e revisão geométrica.</x:v>
      </x:c>
      <x:c r="B3" s="6"/>
      <x:c r="C3" s="6"/>
      <x:c r="D3" s="6"/>
      <x:c r="E3" s="6"/>
      <x:c r="F3" s="6"/>
      <x:c r="G3" s="6"/>
      <x:c r="H3" s="6"/>
    </x:row>
    <x:row r="4">
      <x:c r="A4" s="2"/>
      <x:c r="B4" s="2"/>
      <x:c r="C4" s="2"/>
      <x:c r="D4" s="2"/>
      <x:c r="E4" s="2"/>
      <x:c r="F4" s="2"/>
      <x:c r="G4" s="2"/>
      <x:c r="H4" s="2"/>
    </x:row>
    <x:row r="5" ht="40" customHeight="1">
      <x:c r="A5" s="15" t="str">
        <x:v>ID</x:v>
      </x:c>
      <x:c r="B5" s="15" t="str">
        <x:v>Fonte</x:v>
      </x:c>
      <x:c r="C5" s="15" t="str">
        <x:v>Indicador</x:v>
      </x:c>
      <x:c r="D5" s="15" t="str">
        <x:v>Valor</x:v>
      </x:c>
      <x:c r="E5" s="15" t="str">
        <x:v>Unidade</x:v>
      </x:c>
      <x:c r="F5" s="15" t="str">
        <x:v>Procedimento</x:v>
      </x:c>
      <x:c r="G5" s="15" t="str">
        <x:v>Alcance</x:v>
      </x:c>
      <x:c r="H5" s="15" t="str">
        <x:v>Arquivo identificado</x:v>
      </x:c>
    </x:row>
    <x:row r="6" ht="72" customHeight="1">
      <x:c r="A6" s="8" t="str">
        <x:v>E01</x:v>
      </x:c>
      <x:c r="B6" s="8" t="str">
        <x:v>D01</x:v>
      </x:c>
      <x:c r="C6" s="8" t="str">
        <x:v>Espaços IFC</x:v>
      </x:c>
      <x:c r="D6" s="20" t="n">
        <x:v>41</x:v>
      </x:c>
      <x:c r="E6" s="8" t="str">
        <x:v>entidades</x:v>
      </x:c>
      <x:c r="F6" s="8" t="str">
        <x:v>Contagem de entidades ou atributos IFC.</x:v>
      </x:c>
      <x:c r="G6" s="8" t="str">
        <x:v>Contagem restrita ao indicador e ao arquivo identificados.</x:v>
      </x:c>
      <x:c r="H6" s="8" t="str">
        <x:v>02_Dados_BIM/Arquitetura/TIPO2-ARQ-DTV_R03.ifc</x:v>
      </x:c>
    </x:row>
    <x:row r="7" ht="72" customHeight="1">
      <x:c r="A7" s="10" t="str">
        <x:v>E02</x:v>
      </x:c>
      <x:c r="B7" s="10" t="str">
        <x:v>D01</x:v>
      </x:c>
      <x:c r="C7" s="10" t="str">
        <x:v>Espaços com representação declarada</x:v>
      </x:c>
      <x:c r="D7" s="21" t="n">
        <x:v>41</x:v>
      </x:c>
      <x:c r="E7" s="10" t="str">
        <x:v>entidades</x:v>
      </x:c>
      <x:c r="F7" s="10" t="str">
        <x:v>Contagem de entidades ou atributos IFC.</x:v>
      </x:c>
      <x:c r="G7" s="10" t="str">
        <x:v>Representação e posicionamento declarados não comprovam validade geométrica.</x:v>
      </x:c>
      <x:c r="H7" s="10" t="str">
        <x:v>02_Dados_BIM/Arquitetura/TIPO2-ARQ-DTV_R03.ifc</x:v>
      </x:c>
    </x:row>
    <x:row r="8" ht="72" customHeight="1">
      <x:c r="A8" s="8" t="str">
        <x:v>E03</x:v>
      </x:c>
      <x:c r="B8" s="8" t="str">
        <x:v>D01</x:v>
      </x:c>
      <x:c r="C8" s="8" t="str">
        <x:v>Espaços com posicionamento declarado</x:v>
      </x:c>
      <x:c r="D8" s="20" t="n">
        <x:v>41</x:v>
      </x:c>
      <x:c r="E8" s="8" t="str">
        <x:v>entidades</x:v>
      </x:c>
      <x:c r="F8" s="8" t="str">
        <x:v>Contagem de entidades ou atributos IFC.</x:v>
      </x:c>
      <x:c r="G8" s="8" t="str">
        <x:v>Representação e posicionamento declarados não comprovam validade geométrica.</x:v>
      </x:c>
      <x:c r="H8" s="8" t="str">
        <x:v>02_Dados_BIM/Arquitetura/TIPO2-ARQ-DTV_R03.ifc</x:v>
      </x:c>
    </x:row>
    <x:row r="9" ht="72" customHeight="1">
      <x:c r="A9" s="10" t="str">
        <x:v>E04</x:v>
      </x:c>
      <x:c r="B9" s="10" t="str">
        <x:v>D01</x:v>
      </x:c>
      <x:c r="C9" s="10" t="str">
        <x:v>Relações IfcRelSpaceBoundary</x:v>
      </x:c>
      <x:c r="D9" s="21" t="n">
        <x:v>0</x:v>
      </x:c>
      <x:c r="E9" s="10" t="str">
        <x:v>relações</x:v>
      </x:c>
      <x:c r="F9" s="10" t="str">
        <x:v>Contagem de entidades ou atributos IFC.</x:v>
      </x:c>
      <x:c r="G9" s="10" t="str">
        <x:v>Contagem restrita ao indicador e ao arquivo identificados.</x:v>
      </x:c>
      <x:c r="H9" s="10" t="str">
        <x:v>02_Dados_BIM/Arquitetura/TIPO2-ARQ-DTV_R03.ifc</x:v>
      </x:c>
    </x:row>
    <x:row r="10" ht="72" customHeight="1">
      <x:c r="A10" s="8" t="str">
        <x:v>E05</x:v>
      </x:c>
      <x:c r="B10" s="8" t="str">
        <x:v>D01</x:v>
      </x:c>
      <x:c r="C10" s="8" t="str">
        <x:v>Paredes IFC</x:v>
      </x:c>
      <x:c r="D10" s="20" t="n">
        <x:v>457</x:v>
      </x:c>
      <x:c r="E10" s="8" t="str">
        <x:v>entidades</x:v>
      </x:c>
      <x:c r="F10" s="8" t="str">
        <x:v>Contagem de entidades ou atributos IFC.</x:v>
      </x:c>
      <x:c r="G10" s="8" t="str">
        <x:v>Contagem restrita ao indicador e ao arquivo identificados.</x:v>
      </x:c>
      <x:c r="H10" s="8" t="str">
        <x:v>02_Dados_BIM/Arquitetura/TIPO2-ARQ-DTV_R03.ifc</x:v>
      </x:c>
    </x:row>
    <x:row r="11" ht="72" customHeight="1">
      <x:c r="A11" s="10" t="str">
        <x:v>E06</x:v>
      </x:c>
      <x:c r="B11" s="10" t="str">
        <x:v>D01</x:v>
      </x:c>
      <x:c r="C11" s="10" t="str">
        <x:v>Portas IFC</x:v>
      </x:c>
      <x:c r="D11" s="21" t="n">
        <x:v>53</x:v>
      </x:c>
      <x:c r="E11" s="10" t="str">
        <x:v>entidades</x:v>
      </x:c>
      <x:c r="F11" s="10" t="str">
        <x:v>Contagem de entidades ou atributos IFC.</x:v>
      </x:c>
      <x:c r="G11" s="10" t="str">
        <x:v>Contagem restrita ao indicador e ao arquivo identificados.</x:v>
      </x:c>
      <x:c r="H11" s="10" t="str">
        <x:v>02_Dados_BIM/Arquitetura/TIPO2-ARQ-DTV_R03.ifc</x:v>
      </x:c>
    </x:row>
    <x:row r="12" ht="72" customHeight="1">
      <x:c r="A12" s="8" t="str">
        <x:v>E07</x:v>
      </x:c>
      <x:c r="B12" s="8" t="str">
        <x:v>D01</x:v>
      </x:c>
      <x:c r="C12" s="8" t="str">
        <x:v>Cadeias parede-abertura-porta</x:v>
      </x:c>
      <x:c r="D12" s="20" t="n">
        <x:v>45</x:v>
      </x:c>
      <x:c r="E12" s="8" t="str">
        <x:v>cadeias</x:v>
      </x:c>
      <x:c r="F12" s="8" t="str">
        <x:v>Contagem de entidades ou atributos IFC.</x:v>
      </x:c>
      <x:c r="G12" s="8" t="str">
        <x:v>Contagem restrita ao indicador e ao arquivo identificados.</x:v>
      </x:c>
      <x:c r="H12" s="8" t="str">
        <x:v>02_Dados_BIM/Arquitetura/TIPO2-ARQ-DTV_R03.ifc</x:v>
      </x:c>
    </x:row>
    <x:row r="13" ht="72" customHeight="1">
      <x:c r="A13" s="10" t="str">
        <x:v>E08</x:v>
      </x:c>
      <x:c r="B13" s="10" t="str">
        <x:v>D03</x:v>
      </x:c>
      <x:c r="C13" s="10" t="str">
        <x:v>Triplas do recorte inicial</x:v>
      </x:c>
      <x:c r="D13" s="21" t="n">
        <x:v>411</x:v>
      </x:c>
      <x:c r="E13" s="10" t="str">
        <x:v>triplas</x:v>
      </x:c>
      <x:c r="F13" s="10" t="str">
        <x:v>Leitura de tipos, predicados e GUIDs RDF.</x:v>
      </x:c>
      <x:c r="G13" s="10" t="str">
        <x:v>Contagem restrita ao indicador e ao arquivo identificados.</x:v>
      </x:c>
      <x:c r="H13" s="10" t="str">
        <x:v>04_Resultados/01_Conversao_Arquitetura/01_Arquitetura_Recorte_Espacial_Corrigido.ttl</x:v>
      </x:c>
    </x:row>
    <x:row r="14" ht="72" customHeight="1">
      <x:c r="A14" s="8" t="str">
        <x:v>E09</x:v>
      </x:c>
      <x:c r="B14" s="8" t="str">
        <x:v>D03</x:v>
      </x:c>
      <x:c r="C14" s="8" t="str">
        <x:v>Ambientes pareados por GUID</x:v>
      </x:c>
      <x:c r="D14" s="20" t="n">
        <x:v>41</x:v>
      </x:c>
      <x:c r="E14" s="8" t="str">
        <x:v>entidades</x:v>
      </x:c>
      <x:c r="F14" s="8" t="str">
        <x:v>Leitura de tipos, predicados e GUIDs RDF.</x:v>
      </x:c>
      <x:c r="G14" s="8" t="str">
        <x:v>Contagem restrita ao indicador e ao arquivo identificados.</x:v>
      </x:c>
      <x:c r="H14" s="8" t="str">
        <x:v>04_Resultados/01_Conversao_Arquitetura/01_Arquitetura_Recorte_Espacial_Corrigido.ttl</x:v>
      </x:c>
    </x:row>
    <x:row r="15" ht="72" customHeight="1">
      <x:c r="A15" s="10" t="str">
        <x:v>E10</x:v>
      </x:c>
      <x:c r="B15" s="10" t="str">
        <x:v>D03</x:v>
      </x:c>
      <x:c r="C15" s="10" t="str">
        <x:v>Nomes descritivos iguais ao IFC</x:v>
      </x:c>
      <x:c r="D15" s="21" t="n">
        <x:v>41</x:v>
      </x:c>
      <x:c r="E15" s="10" t="str">
        <x:v>valores</x:v>
      </x:c>
      <x:c r="F15" s="10" t="str">
        <x:v>Leitura de tipos, predicados e GUIDs RDF.</x:v>
      </x:c>
      <x:c r="G15" s="10" t="str">
        <x:v>Contagem restrita ao indicador e ao arquivo identificados.</x:v>
      </x:c>
      <x:c r="H15" s="10" t="str">
        <x:v>04_Resultados/01_Conversao_Arquitetura/01_Arquitetura_Recorte_Espacial_Corrigido.ttl</x:v>
      </x:c>
    </x:row>
    <x:row r="16" ht="72" customHeight="1">
      <x:c r="A16" s="8" t="str">
        <x:v>E11</x:v>
      </x:c>
      <x:c r="B16" s="8" t="str">
        <x:v>D03</x:v>
      </x:c>
      <x:c r="C16" s="8" t="str">
        <x:v>Vínculos ambiente-pavimento iguais ao IFC</x:v>
      </x:c>
      <x:c r="D16" s="20" t="n">
        <x:v>41</x:v>
      </x:c>
      <x:c r="E16" s="8" t="str">
        <x:v>vínculos</x:v>
      </x:c>
      <x:c r="F16" s="8" t="str">
        <x:v>Leitura de tipos, predicados e GUIDs RDF.</x:v>
      </x:c>
      <x:c r="G16" s="8" t="str">
        <x:v>Contagem restrita ao indicador e ao arquivo identificados.</x:v>
      </x:c>
      <x:c r="H16" s="8" t="str">
        <x:v>04_Resultados/01_Conversao_Arquitetura/01_Arquitetura_Recorte_Espacial_Corrigido.ttl</x:v>
      </x:c>
    </x:row>
    <x:row r="17" ht="72" customHeight="1">
      <x:c r="A17" s="10" t="str">
        <x:v>E12</x:v>
      </x:c>
      <x:c r="B17" s="10" t="str">
        <x:v>D03</x:v>
      </x:c>
      <x:c r="C17" s="10" t="str">
        <x:v>Vínculos explícitos espaço-elemento</x:v>
      </x:c>
      <x:c r="D17" s="21" t="n">
        <x:v>0</x:v>
      </x:c>
      <x:c r="E17" s="10" t="str">
        <x:v>triplas</x:v>
      </x:c>
      <x:c r="F17" s="10" t="str">
        <x:v>Leitura de tipos, predicados e GUIDs RDF.</x:v>
      </x:c>
      <x:c r="G17" s="10" t="str">
        <x:v>Somente bot:containsElement, adjacentElement, intersectingElement e hasElement, com domínio bot:Space e objeto bot:Element.</x:v>
      </x:c>
      <x:c r="H17" s="10" t="str">
        <x:v>04_Resultados/01_Conversao_Arquitetura/01_Arquitetura_Recorte_Espacial_Corrigido.ttl</x:v>
      </x:c>
    </x:row>
    <x:row r="18" ht="72" customHeight="1">
      <x:c r="A18" s="8" t="str">
        <x:v>E13</x:v>
      </x:c>
      <x:c r="B18" s="8" t="str">
        <x:v>D04</x:v>
      </x:c>
      <x:c r="C18" s="8" t="str">
        <x:v>Vínculos explícitos espaço-elemento</x:v>
      </x:c>
      <x:c r="D18" s="20" t="n">
        <x:v>0</x:v>
      </x:c>
      <x:c r="E18" s="8" t="str">
        <x:v>triplas</x:v>
      </x:c>
      <x:c r="F18" s="8" t="str">
        <x:v>Leitura de tipos, predicados e GUIDs RDF.</x:v>
      </x:c>
      <x:c r="G18" s="8" t="str">
        <x:v>Somente bot:containsElement, adjacentElement, intersectingElement e hasElement, com domínio bot:Space e objeto bot:Element.</x:v>
      </x:c>
      <x:c r="H18" s="8" t="str">
        <x:v>04_Resultados/02_Diagnostico_Integracao/arquitetura/grafo.ttl</x:v>
      </x:c>
    </x:row>
    <x:row r="19" ht="72" customHeight="1">
      <x:c r="A19" s="10" t="str">
        <x:v>E14</x:v>
      </x:c>
      <x:c r="B19" s="10" t="str">
        <x:v>D04</x:v>
      </x:c>
      <x:c r="C19" s="10" t="str">
        <x:v>Pares IFC parede-porta com aresta direta RDF</x:v>
      </x:c>
      <x:c r="D19" s="21" t="n">
        <x:v>45</x:v>
      </x:c>
      <x:c r="E19" s="10" t="str">
        <x:v>pares</x:v>
      </x:c>
      <x:c r="F19" s="10" t="str">
        <x:v>Arestas diretas nos dois sentidos entre os pares parede-porta das cadeias IFC. Não verifica ambientes nem caminhos indiretos.</x:v>
      </x:c>
      <x:c r="G19" s="10" t="str">
        <x:v>Sem verificação da associação a ambientes.</x:v>
      </x:c>
      <x:c r="H19" s="10" t="str">
        <x:v>04_Resultados/02_Diagnostico_Integracao/arquitetura/grafo.ttl</x:v>
      </x:c>
    </x:row>
    <x:row r="20" ht="72" customHeight="1">
      <x:c r="A20" s="8" t="str">
        <x:v>E15</x:v>
      </x:c>
      <x:c r="B20" s="8" t="str">
        <x:v>D02</x:v>
      </x:c>
      <x:c r="C20" s="8" t="str">
        <x:v>Vigas IFC</x:v>
      </x:c>
      <x:c r="D20" s="20" t="n">
        <x:v>2518</x:v>
      </x:c>
      <x:c r="E20" s="8" t="str">
        <x:v>entidades</x:v>
      </x:c>
      <x:c r="F20" s="8" t="str">
        <x:v>Contagem de entidades ou atributos IFC.</x:v>
      </x:c>
      <x:c r="G20" s="8" t="str">
        <x:v>Contagem restrita ao indicador e ao arquivo identificados.</x:v>
      </x:c>
      <x:c r="H20" s="8" t="str">
        <x:v>02_Dados_BIM/Estrutura_SMT/TIPO2-SMT-MOD_R03.ifc</x:v>
      </x:c>
    </x:row>
    <x:row r="21" ht="72" customHeight="1">
      <x:c r="A21" s="10" t="str">
        <x:v>E16</x:v>
      </x:c>
      <x:c r="B21" s="10" t="str">
        <x:v>D02</x:v>
      </x:c>
      <x:c r="C21" s="10" t="str">
        <x:v>Espaços IFC</x:v>
      </x:c>
      <x:c r="D21" s="21" t="n">
        <x:v>0</x:v>
      </x:c>
      <x:c r="E21" s="10" t="str">
        <x:v>entidades</x:v>
      </x:c>
      <x:c r="F21" s="10" t="str">
        <x:v>Contagem de entidades ou atributos IFC.</x:v>
      </x:c>
      <x:c r="G21" s="10" t="str">
        <x:v>Contagem restrita ao indicador e ao arquivo identificados.</x:v>
      </x:c>
      <x:c r="H21" s="10" t="str">
        <x:v>02_Dados_BIM/Estrutura_SMT/TIPO2-SMT-MOD_R03.ifc</x:v>
      </x:c>
    </x:row>
    <x:row r="22" ht="72" customHeight="1">
      <x:c r="A22" s="8" t="str">
        <x:v>E17</x:v>
      </x:c>
      <x:c r="B22" s="8" t="str">
        <x:v>D02</x:v>
      </x:c>
      <x:c r="C22" s="8" t="str">
        <x:v>Vigas com representação declarada</x:v>
      </x:c>
      <x:c r="D22" s="20" t="n">
        <x:v>2518</x:v>
      </x:c>
      <x:c r="E22" s="8" t="str">
        <x:v>entidades</x:v>
      </x:c>
      <x:c r="F22" s="8" t="str">
        <x:v>Contagem de entidades ou atributos IFC.</x:v>
      </x:c>
      <x:c r="G22" s="8" t="str">
        <x:v>Representação e posicionamento declarados não comprovam validade geométrica.</x:v>
      </x:c>
      <x:c r="H22" s="8" t="str">
        <x:v>02_Dados_BIM/Estrutura_SMT/TIPO2-SMT-MOD_R03.ifc</x:v>
      </x:c>
    </x:row>
    <x:row r="23" ht="72" customHeight="1">
      <x:c r="A23" s="10" t="str">
        <x:v>E18</x:v>
      </x:c>
      <x:c r="B23" s="10" t="str">
        <x:v>D05</x:v>
      </x:c>
      <x:c r="C23" s="10" t="str">
        <x:v>Vigas pareadas por GUID</x:v>
      </x:c>
      <x:c r="D23" s="21" t="n">
        <x:v>2518</x:v>
      </x:c>
      <x:c r="E23" s="10" t="str">
        <x:v>entidades</x:v>
      </x:c>
      <x:c r="F23" s="10" t="str">
        <x:v>Leitura de tipos, predicados e GUIDs RDF.</x:v>
      </x:c>
      <x:c r="G23" s="10" t="str">
        <x:v>Contagem restrita ao indicador e ao arquivo identificados.</x:v>
      </x:c>
      <x:c r="H23" s="10" t="str">
        <x:v>04_Resultados/02_Diagnostico_Integracao/estrutura/grafo.ttl</x:v>
      </x:c>
    </x:row>
    <x:row r="24" ht="72" customHeight="1">
      <x:c r="A24" s="8" t="str">
        <x:v>E19</x:v>
      </x:c>
      <x:c r="B24" s="8" t="str">
        <x:v>D01</x:v>
      </x:c>
      <x:c r="C24" s="8" t="str">
        <x:v>Fator de comprimento para metro</x:v>
      </x:c>
      <x:c r="D24" s="22" t="n">
        <x:v>1</x:v>
      </x:c>
      <x:c r="E24" s="8" t="str">
        <x:v>m/unidade IFC</x:v>
      </x:c>
      <x:c r="F24" s="8" t="str">
        <x:v>Contagem de entidades ou atributos IFC.</x:v>
      </x:c>
      <x:c r="G24" s="8" t="str">
        <x:v>Contagem restrita ao indicador e ao arquivo identificados.</x:v>
      </x:c>
      <x:c r="H24" s="8" t="str">
        <x:v>02_Dados_BIM/Arquitetura/TIPO2-ARQ-DTV_R03.ifc</x:v>
      </x:c>
    </x:row>
    <x:row r="25" ht="72" customHeight="1">
      <x:c r="A25" s="10" t="str">
        <x:v>E20</x:v>
      </x:c>
      <x:c r="B25" s="10" t="str">
        <x:v>D02</x:v>
      </x:c>
      <x:c r="C25" s="10" t="str">
        <x:v>Fator de comprimento para metro</x:v>
      </x:c>
      <x:c r="D25" s="23" t="n">
        <x:v>0.001</x:v>
      </x:c>
      <x:c r="E25" s="10" t="str">
        <x:v>m/unidade IFC</x:v>
      </x:c>
      <x:c r="F25" s="10" t="str">
        <x:v>Contagem de entidades ou atributos IFC.</x:v>
      </x:c>
      <x:c r="G25" s="10" t="str">
        <x:v>Contagem restrita ao indicador e ao arquivo identificados.</x:v>
      </x:c>
      <x:c r="H25" s="10" t="str">
        <x:v>02_Dados_BIM/Estrutura_SMT/TIPO2-SMT-MOD_R03.ifc</x:v>
      </x:c>
    </x:row>
    <x:row r="26" ht="72" customHeight="1">
      <x:c r="A26" s="8" t="str">
        <x:v>E21</x:v>
      </x:c>
      <x:c r="B26" s="8" t="str">
        <x:v>D04</x:v>
      </x:c>
      <x:c r="C26" s="8" t="str">
        <x:v>Triplas da arquitetura ampliada</x:v>
      </x:c>
      <x:c r="D26" s="20" t="n">
        <x:v>56961</x:v>
      </x:c>
      <x:c r="E26" s="8" t="str">
        <x:v>triplas</x:v>
      </x:c>
      <x:c r="F26" s="8" t="str">
        <x:v>Leitura de tipos, predicados e GUIDs RDF.</x:v>
      </x:c>
      <x:c r="G26" s="8" t="str">
        <x:v>Contagem restrita ao indicador e ao arquivo identificados.</x:v>
      </x:c>
      <x:c r="H26" s="8" t="str">
        <x:v>04_Resultados/02_Diagnostico_Integracao/arquitetura/grafo.ttl</x:v>
      </x:c>
    </x:row>
    <x:row r="27" ht="72" customHeight="1">
      <x:c r="A27" s="10" t="str">
        <x:v>E22</x:v>
      </x:c>
      <x:c r="B27" s="10" t="str">
        <x:v>D05</x:v>
      </x:c>
      <x:c r="C27" s="10" t="str">
        <x:v>Triplas da estrutura</x:v>
      </x:c>
      <x:c r="D27" s="21" t="n">
        <x:v>84933</x:v>
      </x:c>
      <x:c r="E27" s="10" t="str">
        <x:v>triplas</x:v>
      </x:c>
      <x:c r="F27" s="10" t="str">
        <x:v>Leitura de tipos, predicados e GUIDs RDF.</x:v>
      </x:c>
      <x:c r="G27" s="10" t="str">
        <x:v>Contagem restrita ao indicador e ao arquivo identificados.</x:v>
      </x:c>
      <x:c r="H27" s="10" t="str">
        <x:v>04_Resultados/02_Diagnostico_Integracao/estrutura/grafo.ttl</x:v>
      </x:c>
    </x:row>
    <x:row r="28" ht="72" customHeight="1">
      <x:c r="A28" s="8" t="str">
        <x:v>E23</x:v>
      </x:c>
      <x:c r="B28" s="8" t="str">
        <x:v>D03</x:v>
      </x:c>
      <x:c r="C28" s="8" t="str">
        <x:v>Ligações bot:has3DModel</x:v>
      </x:c>
      <x:c r="D28" s="20" t="n">
        <x:v>0</x:v>
      </x:c>
      <x:c r="E28" s="8" t="str">
        <x:v>triplas</x:v>
      </x:c>
      <x:c r="F28" s="8" t="str">
        <x:v>Leitura de tipos, predicados e GUIDs RDF.</x:v>
      </x:c>
      <x:c r="G28" s="8" t="str">
        <x:v>Contagem restrita ao indicador e ao arquivo identificados.</x:v>
      </x:c>
      <x:c r="H28" s="8" t="str">
        <x:v>04_Resultados/01_Conversao_Arquitetura/01_Arquitetura_Recorte_Espacial_Corrigido.ttl</x:v>
      </x:c>
    </x:row>
    <x:row r="29" ht="72" customHeight="1">
      <x:c r="A29" s="10" t="str">
        <x:v>E24</x:v>
      </x:c>
      <x:c r="B29" s="10" t="str">
        <x:v>D03</x:v>
      </x:c>
      <x:c r="C29" s="10" t="str">
        <x:v>Ligações bot:hasSimple3DModel</x:v>
      </x:c>
      <x:c r="D29" s="21" t="n">
        <x:v>0</x:v>
      </x:c>
      <x:c r="E29" s="10" t="str">
        <x:v>triplas</x:v>
      </x:c>
      <x:c r="F29" s="10" t="str">
        <x:v>Leitura de tipos, predicados e GUIDs RDF.</x:v>
      </x:c>
      <x:c r="G29" s="10" t="str">
        <x:v>Contagem restrita ao indicador e ao arquivo identificados.</x:v>
      </x:c>
      <x:c r="H29" s="10" t="str">
        <x:v>04_Resultados/01_Conversao_Arquitetura/01_Arquitetura_Recorte_Espacial_Corrigido.ttl</x:v>
      </x:c>
    </x:row>
    <x:row r="30" ht="72" customHeight="1">
      <x:c r="A30" s="8" t="str">
        <x:v>E25</x:v>
      </x:c>
      <x:c r="B30" s="8" t="str">
        <x:v>D04</x:v>
      </x:c>
      <x:c r="C30" s="8" t="str">
        <x:v>Ligações bot:has3DModel</x:v>
      </x:c>
      <x:c r="D30" s="20" t="n">
        <x:v>0</x:v>
      </x:c>
      <x:c r="E30" s="8" t="str">
        <x:v>triplas</x:v>
      </x:c>
      <x:c r="F30" s="8" t="str">
        <x:v>Leitura de tipos, predicados e GUIDs RDF.</x:v>
      </x:c>
      <x:c r="G30" s="8" t="str">
        <x:v>Contagem restrita ao indicador e ao arquivo identificados.</x:v>
      </x:c>
      <x:c r="H30" s="8" t="str">
        <x:v>04_Resultados/02_Diagnostico_Integracao/arquitetura/grafo.ttl</x:v>
      </x:c>
    </x:row>
    <x:row r="31" ht="72" customHeight="1">
      <x:c r="A31" s="10" t="str">
        <x:v>E26</x:v>
      </x:c>
      <x:c r="B31" s="10" t="str">
        <x:v>D04</x:v>
      </x:c>
      <x:c r="C31" s="10" t="str">
        <x:v>Ligações bot:hasSimple3DModel</x:v>
      </x:c>
      <x:c r="D31" s="21" t="n">
        <x:v>0</x:v>
      </x:c>
      <x:c r="E31" s="10" t="str">
        <x:v>triplas</x:v>
      </x:c>
      <x:c r="F31" s="10" t="str">
        <x:v>Leitura de tipos, predicados e GUIDs RDF.</x:v>
      </x:c>
      <x:c r="G31" s="10" t="str">
        <x:v>Contagem restrita ao indicador e ao arquivo identificados.</x:v>
      </x:c>
      <x:c r="H31" s="10" t="str">
        <x:v>04_Resultados/02_Diagnostico_Integracao/arquitetura/grafo.ttl</x:v>
      </x:c>
    </x:row>
    <x:row r="32" ht="72" customHeight="1">
      <x:c r="A32" s="8" t="str">
        <x:v>E27</x:v>
      </x:c>
      <x:c r="B32" s="8" t="str">
        <x:v>D05</x:v>
      </x:c>
      <x:c r="C32" s="8" t="str">
        <x:v>Ligações bot:has3DModel</x:v>
      </x:c>
      <x:c r="D32" s="20" t="n">
        <x:v>0</x:v>
      </x:c>
      <x:c r="E32" s="8" t="str">
        <x:v>triplas</x:v>
      </x:c>
      <x:c r="F32" s="8" t="str">
        <x:v>Leitura de tipos, predicados e GUIDs RDF.</x:v>
      </x:c>
      <x:c r="G32" s="8" t="str">
        <x:v>Contagem restrita ao indicador e ao arquivo identificados.</x:v>
      </x:c>
      <x:c r="H32" s="8" t="str">
        <x:v>04_Resultados/02_Diagnostico_Integracao/estrutura/grafo.ttl</x:v>
      </x:c>
    </x:row>
    <x:row r="33" ht="72" customHeight="1">
      <x:c r="A33" s="10" t="str">
        <x:v>E28</x:v>
      </x:c>
      <x:c r="B33" s="10" t="str">
        <x:v>D05</x:v>
      </x:c>
      <x:c r="C33" s="10" t="str">
        <x:v>Ligações bot:hasSimple3DModel</x:v>
      </x:c>
      <x:c r="D33" s="21" t="n">
        <x:v>0</x:v>
      </x:c>
      <x:c r="E33" s="10" t="str">
        <x:v>triplas</x:v>
      </x:c>
      <x:c r="F33" s="10" t="str">
        <x:v>Leitura de tipos, predicados e GUIDs RDF.</x:v>
      </x:c>
      <x:c r="G33" s="10" t="str">
        <x:v>Contagem restrita ao indicador e ao arquivo identificados.</x:v>
      </x:c>
      <x:c r="H33" s="10" t="str">
        <x:v>04_Resultados/02_Diagnostico_Integracao/estrutura/grafo.ttl</x:v>
      </x:c>
    </x:row>
    <x:row r="34" ht="72" customHeight="1">
      <x:c r="A34" s="8" t="str">
        <x:v>E29</x:v>
      </x:c>
      <x:c r="B34" s="8" t="str">
        <x:v>D01/D02</x:v>
      </x:c>
      <x:c r="C34" s="8" t="str">
        <x:v>GlobalIds de produtos compartilhados</x:v>
      </x:c>
      <x:c r="D34" s="20" t="n">
        <x:v>0</x:v>
      </x:c>
      <x:c r="E34" s="8" t="str">
        <x:v>identificadores</x:v>
      </x:c>
      <x:c r="F34" s="8" t="str">
        <x:v>Interseção dos conjuntos de IfcProduct.GlobalId.</x:v>
      </x:c>
      <x:c r="G34" s="8" t="str">
        <x:v>Ausência de IDs compartilhados não impede relações entre entidades diferentes e não constitui erro por si só.</x:v>
      </x:c>
      <x:c r="H34" s="8" t="str">
        <x:v>D01 e D02</x:v>
      </x:c>
    </x:row>
    <x:row r="35" ht="72" customHeight="1">
      <x:c r="A35" s="10" t="str">
        <x:v>E30</x:v>
      </x:c>
      <x:c r="B35" s="10" t="str">
        <x:v>D08</x:v>
      </x:c>
      <x:c r="C35" s="10" t="str">
        <x:v>Paredes com aresta RDF na cozinha</x:v>
      </x:c>
      <x:c r="D35" s="21" t="n">
        <x:v>10</x:v>
      </x:c>
      <x:c r="E35" s="10" t="str">
        <x:v>paredes</x:v>
      </x:c>
      <x:c r="F35" s="10" t="str">
        <x:v>Consulta bot:adjacentElement pelo GUID da cozinha.</x:v>
      </x:c>
      <x:c r="G35" s="10" t="str">
        <x:v>Aresta geométrica derivada, não comprovação de completude.</x:v>
      </x:c>
      <x:c r="H35" s="10" t="str">
        <x:v>04_Resultados/08_Conferencia_Cozinha/conferencia_cozinha_dados.json</x:v>
      </x:c>
    </x:row>
    <x:row r="36" ht="72" customHeight="1">
      <x:c r="A36" s="8" t="str">
        <x:v>E31</x:v>
      </x:c>
      <x:c r="B36" s="8" t="str">
        <x:v>D08</x:v>
      </x:c>
      <x:c r="C36" s="8" t="str">
        <x:v>Paredes pré-selecionadas</x:v>
      </x:c>
      <x:c r="D36" s="20" t="n">
        <x:v>34</x:v>
      </x:c>
      <x:c r="E36" s="8" t="str">
        <x:v>paredes</x:v>
      </x:c>
      <x:c r="F36" s="8" t="str">
        <x:v>Caixas das malhas em até 2 mm da caixa do ambiente.</x:v>
      </x:c>
      <x:c r="G36" s="8" t="str">
        <x:v>Filtro amplo; 34 não são paredes delimitadoras confirmadas.</x:v>
      </x:c>
      <x:c r="H36" s="8" t="str">
        <x:v>04_Resultados/08_Conferencia_Cozinha/conferencia_cozinha_dados.json</x:v>
      </x:c>
    </x:row>
    <x:row r="37" ht="72" customHeight="1">
      <x:c r="A37" s="10" t="str">
        <x:v>E32</x:v>
      </x:c>
      <x:c r="B37" s="10" t="str">
        <x:v>D08</x:v>
      </x:c>
      <x:c r="C37" s="10" t="str">
        <x:v>Cadeias com abertura/preenchimento</x:v>
      </x:c>
      <x:c r="D37" s="21" t="n">
        <x:v>8</x:v>
      </x:c>
      <x:c r="E37" s="10" t="str">
        <x:v>cadeias</x:v>
      </x:c>
      <x:c r="F37" s="10" t="str">
        <x:v>IfcRelVoidsElement e IfcRelFillsElement nas dez paredes.</x:v>
      </x:c>
      <x:c r="G37" s="10" t="str">
        <x:v>4 portas, 3 janelas e 1 parede; não são oito portas.</x:v>
      </x:c>
      <x:c r="H37" s="10" t="str">
        <x:v>04_Resultados/08_Conferencia_Cozinha/conferencia_cozinha_dados.json</x:v>
      </x:c>
    </x:row>
    <x:row r="38" ht="72" customHeight="1">
      <x:c r="A38" s="8" t="str">
        <x:v>E33</x:v>
      </x:c>
      <x:c r="B38" s="8" t="str">
        <x:v>D08</x:v>
      </x:c>
      <x:c r="C38" s="8" t="str">
        <x:v>Linhas da consulta com OPTIONAL</x:v>
      </x:c>
      <x:c r="D38" s="20" t="n">
        <x:v>14</x:v>
      </x:c>
      <x:c r="E38" s="8" t="str">
        <x:v>linhas</x:v>
      </x:c>
      <x:c r="F38" s="8" t="str">
        <x:v>Comparação por GUID dos conjuntos IFC/RDF.</x:v>
      </x:c>
      <x:c r="G38" s="8" t="str">
        <x:v>Oito cadeias com abertura e seis paredes sem abertura.</x:v>
      </x:c>
      <x:c r="H38" s="8" t="str">
        <x:v>04_Resultados/08_Conferencia_Cozinha/conferencia_cozinha_dados.json</x:v>
      </x:c>
    </x:row>
    <x:row r="39" ht="72" customHeight="1">
      <x:c r="A39" s="10" t="str">
        <x:v>E34</x:v>
      </x:c>
      <x:c r="B39" s="10" t="str">
        <x:v>D08</x:v>
      </x:c>
      <x:c r="C39" s="10" t="str">
        <x:v>Aberturas das cadeias separadas da cozinha</x:v>
      </x:c>
      <x:c r="D39" s="21" t="n">
        <x:v>2</x:v>
      </x:c>
      <x:c r="E39" s="10" t="str">
        <x:v>aberturas</x:v>
      </x:c>
      <x:c r="F39" s="10" t="str">
        <x:v>Separação positiva no eixo Y entre caixas das malhas.</x:v>
      </x:c>
      <x:c r="G39" s="10" t="str">
        <x:v>A03: 0,488767 m; A04: 3,049418 m; exclui contato no limiar, não identifica cômodo atendido.</x:v>
      </x:c>
      <x:c r="H39" s="10" t="str">
        <x:v>04_Resultados/08_Conferencia_Cozinha/conferencia_cozinha_dados.json</x:v>
      </x:c>
    </x:row>
    <x:row r="40" ht="72" customHeight="1">
      <x:c r="A40" s="8" t="str">
        <x:v>E35</x:v>
      </x:c>
      <x:c r="B40" s="8" t="str">
        <x:v>D08</x:v>
      </x:c>
      <x:c r="C40" s="8" t="str">
        <x:v>Aberturas pré-selecionadas no modelo inteiro</x:v>
      </x:c>
      <x:c r="D40" s="20" t="n">
        <x:v>21</x:v>
      </x:c>
      <x:c r="E40" s="8" t="str">
        <x:v>aberturas</x:v>
      </x:c>
      <x:c r="F40" s="8" t="str">
        <x:v>Inspeção de todos os 184 IfcOpeningElement; filtro de caixas e teste 3D.</x:v>
      </x:c>
      <x:c r="G40" s="8" t="str">
        <x:v>Candidatos; não representam 21 portas nem 21 vínculos confirmados.</x:v>
      </x:c>
      <x:c r="H40" s="8" t="str">
        <x:v>04_Resultados/08_Conferencia_Cozinha/conferencia_cozinha_dados.json</x:v>
      </x:c>
    </x:row>
    <x:row r="41" ht="72" customHeight="1">
      <x:c r="A41" s="10" t="str">
        <x:v>E36</x:v>
      </x:c>
      <x:c r="B41" s="10" t="str">
        <x:v>D08</x:v>
      </x:c>
      <x:c r="C41" s="10" t="str">
        <x:v>Candidatos sem hospedeiro nas dez paredes</x:v>
      </x:c>
      <x:c r="D41" s="21" t="n">
        <x:v>15</x:v>
      </x:c>
      <x:c r="E41" s="10" t="str">
        <x:v>aberturas</x:v>
      </x:c>
      <x:c r="F41" s="10" t="str">
        <x:v>Confronto de hospedeiros declarados com a lista de paredes qualificadas.</x:v>
      </x:c>
      <x:c r="G41" s="10" t="str">
        <x:v>Inclui quatro aberturas de janelas da parede com sobreposição; não quantifica omissão arquitetônica validada.</x:v>
      </x:c>
      <x:c r="H41" s="10" t="str">
        <x:v>04_Resultados/08_Conferencia_Cozinha/conferencia_cozinha_dados.json</x:v>
      </x:c>
    </x:row>
    <x:row r="42" ht="72" customHeight="1">
      <x:c r="A42" s="8" t="str">
        <x:v>E37</x:v>
      </x:c>
      <x:c r="B42" s="8" t="str">
        <x:v>D08</x:v>
      </x:c>
      <x:c r="C42" s="8" t="str">
        <x:v>Aberturas das oito cadeias com volume comum positivo</x:v>
      </x:c>
      <x:c r="D42" s="20" t="n">
        <x:v>5</x:v>
      </x:c>
      <x:c r="E42" s="8" t="str">
        <x:v>aberturas</x:v>
      </x:c>
      <x:c r="F42" s="8" t="str">
        <x:v>Interseção volumétrica Manifold sobre malhas.</x:v>
      </x:c>
      <x:c r="G42" s="8" t="str">
        <x:v>Volume comum e contato entre faces são testes distintos; não inferem função.</x:v>
      </x:c>
      <x:c r="H42" s="8" t="str">
        <x:v>04_Resultados/08_Conferencia_Cozinha/conferencia_cozinha_dados.json</x:v>
      </x:c>
    </x:row>
    <x:row r="43" ht="72" customHeight="1">
      <x:c r="A43" s="10" t="str">
        <x:v>E38</x:v>
      </x:c>
      <x:c r="B43" s="10" t="str">
        <x:v>D08</x:v>
      </x:c>
      <x:c r="C43" s="10" t="str">
        <x:v>Conjuntos de tuplas IFC/RDF iguais</x:v>
      </x:c>
      <x:c r="D43" s="21" t="n">
        <x:v>1</x:v>
      </x:c>
      <x:c r="E43" s="10" t="str">
        <x:v>conferência</x:v>
      </x:c>
      <x:c r="F43" s="10" t="str">
        <x:v>Igualdade exata de tuplas GUID de parede, abertura e preenchimento.</x:v>
      </x:c>
      <x:c r="G43" s="10" t="str">
        <x:v>Confere fidelidade das cadeias para paredes selecionadas; não valida a seleção.</x:v>
      </x:c>
      <x:c r="H43" s="10" t="str">
        <x:v>04_Resultados/08_Conferencia_Cozinha/conferencia_cozinha_dados.json</x:v>
      </x:c>
    </x:row>
    <x:row r="44" ht="72" customHeight="1">
      <x:c r="A44" s="8" t="str">
        <x:v>E39</x:v>
      </x:c>
      <x:c r="B44" s="8" t="str">
        <x:v>D08</x:v>
      </x:c>
      <x:c r="C44" s="8" t="str">
        <x:v>Preenchimento classificado como IfcWall</x:v>
      </x:c>
      <x:c r="D44" s="20" t="n">
        <x:v>1</x:v>
      </x:c>
      <x:c r="E44" s="8" t="str">
        <x:v>elemento</x:v>
      </x:c>
      <x:c r="F44" s="8" t="str">
        <x:v>Leitura de RelatedBuildingElement; caso A07, AL25.</x:v>
      </x:c>
      <x:c r="G44" s="8" t="str">
        <x:v>Não classificado como erro apenas por não ser porta/janela.</x:v>
      </x:c>
      <x:c r="H44" s="8" t="str">
        <x:v>04_Resultados/08_Conferencia_Cozinha/conferencia_cozinha_dados.json</x:v>
      </x:c>
    </x:row>
    <x:row r="45" ht="72" customHeight="1">
      <x:c r="A45" s="10" t="str">
        <x:v>E40</x:v>
      </x:c>
      <x:c r="B45" s="10" t="str">
        <x:v>D07</x:v>
      </x:c>
      <x:c r="C45" s="10" t="str">
        <x:v>Produtos com malha no RDF arquitetônico</x:v>
      </x:c>
      <x:c r="D45" s="21" t="n">
        <x:v>2109</x:v>
      </x:c>
      <x:c r="E45" s="10" t="str">
        <x:v>produtos</x:v>
      </x:c>
      <x:c r="F45" s="10" t="str">
        <x:v>Manifesto executado do Notebook 1 v03.</x:v>
      </x:c>
      <x:c r="G45" s="10" t="str">
        <x:v>Inclui 41 espaços. Geometria do SMT não reavaliada.</x:v>
      </x:c>
      <x:c r="H45" s="10" t="str">
        <x:v>04_Resultados/07_Notebook1_Revisao_v03/resultados/rdf/arquitetura_enriquecida.ttl</x:v>
      </x:c>
    </x:row>
    <x:row r="46" ht="72" customHeight="1">
      <x:c r="A46" s="8" t="str">
        <x:v>E41</x:v>
      </x:c>
      <x:c r="B46" s="8" t="str">
        <x:v>D07</x:v>
      </x:c>
      <x:c r="C46" s="8" t="str">
        <x:v>Paredes sem malha registrada</x:v>
      </x:c>
      <x:c r="D46" s="20" t="n">
        <x:v>3</x:v>
      </x:c>
      <x:c r="E46" s="8" t="str">
        <x:v>paredes</x:v>
      </x:c>
      <x:c r="F46" s="8" t="str">
        <x:v>Relatório de extração geométrica do Notebook 1 v03.</x:v>
      </x:c>
      <x:c r="G46" s="8" t="str">
        <x:v>Mantidas como limitações, sem preenchimento por caixas.</x:v>
      </x:c>
      <x:c r="H46" s="8" t="str">
        <x:v>04_Resultados/07_Notebook1_Revisao_v03/resultados/rdf/arquitetura_enriquecida.ttl</x:v>
      </x:c>
    </x:row>
    <x:row r="47">
      <x:c r="A47" s="2"/>
      <x:c r="B47" s="2"/>
      <x:c r="C47" s="2"/>
      <x:c r="D47" s="2"/>
      <x:c r="E47" s="2"/>
      <x:c r="F47" s="2"/>
      <x:c r="G47" s="2"/>
      <x:c r="H47" s="2"/>
    </x:row>
  </x:sheetData>
  <x:pageMargins left="0.7" right="0.7" top="0.75" bottom="0.75" header="0.3" footer="0.3"/>
  <x:tableParts count="1">
    <x:tablePart xmlns:r="http://schemas.openxmlformats.org/officeDocument/2006/relationships" r:id="R2b9fb4445e794fb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22.5" hidden="0" customWidth="1"/>
    <x:col min="2" max="2" width="81.25" hidden="0" customWidth="1"/>
    <x:col min="3" max="3" width="77.5" hidden="0" customWidth="1"/>
    <x:col min="4" max="4" width="51.25" hidden="0" customWidth="1"/>
    <x:col min="5" max="5" width="68.75" hidden="0" customWidth="1"/>
    <x:col min="6" max="6" width="81.25" hidden="0" customWidth="1"/>
  </x:cols>
  <x:sheetData>
    <x:row r="1">
      <x:c r="A1" s="2"/>
      <x:c r="B1" s="2"/>
      <x:c r="C1" s="2"/>
      <x:c r="D1" s="2"/>
      <x:c r="E1" s="2"/>
      <x:c r="F1" s="2"/>
    </x:row>
    <x:row r="2" ht="27" customHeight="1">
      <x:c r="A2" s="3" t="str">
        <x:v>Método e fontes</x:v>
      </x:c>
      <x:c r="B2" s="2"/>
      <x:c r="C2" s="2"/>
      <x:c r="D2" s="2"/>
      <x:c r="E2" s="2"/>
      <x:c r="F2" s="2"/>
    </x:row>
    <x:row r="3" ht="25" customHeight="1">
      <x:c r="A3" s="5" t="str">
        <x:v>Rastreabilidade, questões de competência e fontes geométricas; execução de 29/10/2026.</x:v>
      </x:c>
      <x:c r="B3" s="6"/>
      <x:c r="C3" s="6"/>
      <x:c r="D3" s="6"/>
      <x:c r="E3" s="6"/>
      <x:c r="F3" s="6"/>
    </x:row>
    <x:row r="4">
      <x:c r="A4" s="2"/>
      <x:c r="B4" s="2"/>
      <x:c r="C4" s="2"/>
      <x:c r="D4" s="2"/>
      <x:c r="E4" s="2"/>
      <x:c r="F4" s="2"/>
    </x:row>
    <x:row r="5" ht="40" customHeight="1">
      <x:c r="A5" s="15" t="str">
        <x:v>Pergunta</x:v>
      </x:c>
      <x:c r="B5" s="15" t="str">
        <x:v>Formulação</x:v>
      </x:c>
      <x:c r="C5" s="15" t="str">
        <x:v>Finalidade no estudo</x:v>
      </x:c>
      <x:c r="D5" s="2"/>
      <x:c r="E5" s="2"/>
      <x:c r="F5" s="2"/>
    </x:row>
    <x:row r="6" ht="50" customHeight="1">
      <x:c r="A6" s="8" t="str">
        <x:v>CQ1</x:v>
      </x:c>
      <x:c r="B6" s="8" t="str">
        <x:v>Quais ambientes existem e a quais pavimentos pertencem?</x:v>
      </x:c>
      <x:c r="C6" s="8" t="str">
        <x:v>Controle do recorte espacial já convertido.</x:v>
      </x:c>
      <x:c r="D6" s="2"/>
      <x:c r="E6" s="2"/>
      <x:c r="F6" s="2"/>
    </x:row>
    <x:row r="7" ht="50" customHeight="1">
      <x:c r="A7" s="10" t="str">
        <x:v>CQ2</x:v>
      </x:c>
      <x:c r="B7" s="10" t="str">
        <x:v>Quais paredes delimitam um ambiente e quais portas estão associadas a essas paredes?</x:v>
      </x:c>
      <x:c r="C7" s="10" t="str">
        <x:v>Relações arquitetônicas. A ligação parede-porta e a ligação ambiente-parede são verificadas separadamente.</x:v>
      </x:c>
      <x:c r="D7" s="2"/>
      <x:c r="E7" s="2"/>
      <x:c r="F7" s="2"/>
    </x:row>
    <x:row r="8" ht="50" customHeight="1">
      <x:c r="A8" s="8" t="str">
        <x:v>CQ3</x:v>
      </x:c>
      <x:c r="B8" s="8" t="str">
        <x:v>Quais ambientes arquitetônicos são atravessados por um elemento estrutural do modelo SMT?</x:v>
      </x:c>
      <x:c r="C8" s="8" t="str">
        <x:v>Integração entre disciplinas. As vigas são um exemplo de elemento examinado.</x:v>
      </x:c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 ht="40" customHeight="1">
      <x:c r="A10" s="15" t="str">
        <x:v>Situação</x:v>
      </x:c>
      <x:c r="B10" s="15" t="str">
        <x:v>Critério de interpretação</x:v>
      </x:c>
      <x:c r="C10" s="2"/>
      <x:c r="D10" s="2"/>
      <x:c r="E10" s="2"/>
      <x:c r="F10" s="2"/>
    </x:row>
    <x:row r="11" ht="50" customHeight="1">
      <x:c r="A11" s="8" t="str">
        <x:v>Atendido no recorte</x:v>
      </x:c>
      <x:c r="B11" s="8" t="str">
        <x:v>O requisito possui evidência suficiente somente no universo e no critério descritos na linha.</x:v>
      </x:c>
      <x:c r="C11" s="2"/>
      <x:c r="D11" s="2"/>
      <x:c r="E11" s="2"/>
      <x:c r="F11" s="2"/>
    </x:row>
    <x:row r="12" ht="50" customHeight="1">
      <x:c r="A12" s="10" t="str">
        <x:v>Parcialmente verificado</x:v>
      </x:c>
      <x:c r="B12" s="10" t="str">
        <x:v>Há evidência para parte do requisito. A cobertura restante está explicitada na linha.</x:v>
      </x:c>
      <x:c r="C12" s="2"/>
      <x:c r="D12" s="2"/>
      <x:c r="E12" s="2"/>
      <x:c r="F12" s="2"/>
    </x:row>
    <x:row r="13" ht="50" customHeight="1">
      <x:c r="A13" s="8" t="str">
        <x:v>Não demonstrado</x:v>
      </x:c>
      <x:c r="B13" s="8" t="str">
        <x:v>As evidências atuais não sustentam a resposta. Isso não comprova impossibilidade técnica.</x:v>
      </x:c>
      <x:c r="C13" s="2"/>
      <x:c r="D13" s="2"/>
      <x:c r="E13" s="2"/>
      <x:c r="F13" s="2"/>
    </x:row>
    <x:row r="14" ht="50" customHeight="1">
      <x:c r="A14" s="10" t="str">
        <x:v>Não examinado</x:v>
      </x:c>
      <x:c r="B14" s="10" t="str">
        <x:v>A verificação necessária ainda não foi executada. Não equivale a informação ausente.</x:v>
      </x:c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 ht="40" customHeight="1">
      <x:c r="A16" s="15" t="str">
        <x:v>ID</x:v>
      </x:c>
      <x:c r="B16" s="15" t="str">
        <x:v>Referência ou fonte empírica</x:v>
      </x:c>
      <x:c r="C16" s="15" t="str">
        <x:v>Acesso original</x:v>
      </x:c>
      <x:c r="D16" s="15" t="str">
        <x:v>Trecho ou localização</x:v>
      </x:c>
      <x:c r="E16" s="15" t="str">
        <x:v>Aplicação e alcance</x:v>
      </x:c>
      <x:c r="F16" s="15" t="str">
        <x:v>Arquivo na pasta do projeto</x:v>
      </x:c>
    </x:row>
    <x:row r="17" ht="75" customHeight="1">
      <x:c r="A17" s="8" t="str">
        <x:v>M01</x:v>
      </x:c>
      <x:c r="B17" s="8" t="str">
        <x:v>GOTEL, O. C. Z.; FINKELSTEIN, A. C. W. An analysis of the requirements traceability problem. ICRE, 1994, p. 94-101.</x:v>
      </x:c>
      <x:c r="C17" s="8" t="str">
        <x:v>https://discovery.ucl.ac.uk/id/eprint/749/1/2.2_rtprob.pdf</x:v>
      </x:c>
      <x:c r="D17" s="8" t="str">
        <x:v>Seção 3.1, p. 95 (PDF p. 2); definição ampliada, p. 97 (PDF p. 4).</x:v>
      </x:c>
      <x:c r="E17" s="8" t="str">
        <x:v>Fundamenta a rastreabilidade e identifica matrizes como uma técnica. A estrutura aplicada ao IFC-RDF é adaptação deste estudo.</x:v>
      </x:c>
      <x:c r="F17" s="8" t="str">
        <x:v>01_Referencias/01_Matriz_de_Rastreabilidade/An Analysis of the Requirements Traceability Problem.pdf</x:v>
      </x:c>
    </x:row>
    <x:row r="18" ht="75" customHeight="1">
      <x:c r="A18" s="10" t="str">
        <x:v>M02</x:v>
      </x:c>
      <x:c r="B18" s="10" t="str">
        <x:v>NASA. NASA Systems Engineering Handbook. Rev. 2. NASA/SP-2016-6105. Publicação registrada no NTRS em 2017.</x:v>
      </x:c>
      <x:c r="C18" s="10" t="str">
        <x:v>https://www.nasa.gov/wp-content/uploads/2018/09/nasa_systems_engineering_handbook_0.pdf</x:v>
      </x:c>
      <x:c r="D18" s="10" t="str">
        <x:v>Seção 6.2.1.2.3, p. 132; Apêndice D, p. 201-202.</x:v>
      </x:c>
      <x:c r="E18" s="10" t="str">
        <x:v>Identificadores, origem dos requisitos e verificação. Manual técnico, não artigo de periódico. Colunas IFC, RDF e ementa são adaptações.</x:v>
      </x:c>
      <x:c r="F18" s="10" t="str">
        <x:v>01_Referencias/01_Matriz_de_Rastreabilidade/NASA_2017_Manual_Engenharia_de_Sistemas_Rev2.pdf</x:v>
      </x:c>
    </x:row>
    <x:row r="19" ht="75" customHeight="1">
      <x:c r="A19" s="8" t="str">
        <x:v>M03</x:v>
      </x:c>
      <x:c r="B19" s="8" t="str">
        <x:v>NOY, N. F.; MCGUINNESS, D. L. Ontology Development 101: A Guide to Creating Your First Ontology. Stanford, 2001.</x:v>
      </x:c>
      <x:c r="C19" s="8" t="str">
        <x:v>https://protege.stanford.edu/publications/ontology_development/ontology101.pdf</x:v>
      </x:c>
      <x:c r="D19" s="8" t="str">
        <x:v>Seção 3, Step 1 e Competency questions, p. 5.</x:v>
      </x:c>
      <x:c r="E19" s="8" t="str">
        <x:v>Fundamenta finalidade, domínio e perguntas que a representação deve responder. Não prescreve a matriz IFC-RDF proposta.</x:v>
      </x:c>
      <x:c r="F19" s="8" t="str">
        <x:v>01_Referencias/01_Matriz_de_Rastreabilidade/Ontology Development 101 - A Guide to Creating Your First Ontology.pdf</x:v>
      </x:c>
    </x:row>
    <x:row r="20" ht="75" customHeight="1">
      <x:c r="A20" s="10" t="str">
        <x:v>M04</x:v>
      </x:c>
      <x:c r="B20" s="10" t="str">
        <x:v>EASTMAN, C. M.; JEONG, Y. S.; SACKS, R.; KANER, I. Exchange model and exchange object concepts for implementation of national BIM standards. Journal of Computing in Civil Engineering, 24(1), p. 25-34, 2010. DOI 10.1061/(ASCE)0887-3801(2010)24:1(25).</x:v>
      </x:c>
      <x:c r="C20" s="10" t="str">
        <x:v>https://cris.technion.ac.il/en/publications/exchange-model-and-exchange-object-concepts-for-implementation-of-2/</x:v>
      </x:c>
      <x:c r="D20" s="10" t="str">
        <x:v>Resumo e metadados institucionais consultados. Texto integral não armazenado.</x:v>
      </x:c>
      <x:c r="E20" s="10" t="str">
        <x:v>Relaciona usos e definição do conteúdo das trocas IFC. Integra a bibliografia da disciplina.</x:v>
      </x:c>
      <x:c r="F20" s="10" t="str">
        <x:v>01_Referencias/01_Matriz_de_Rastreabilidade/Eastman_2010_Requisitos_de_Troca_de_Informacao.url</x:v>
      </x:c>
    </x:row>
    <x:row r="21" ht="75" customHeight="1">
      <x:c r="A21" s="8" t="str">
        <x:v>T01</x:v>
      </x:c>
      <x:c r="B21" s="8" t="str">
        <x:v>W3C Linked Building Data Community Group. Building Topology Ontology (BOT).</x:v>
      </x:c>
      <x:c r="C21" s="8" t="str">
        <x:v>https://w3c-lbd-cg.github.io/bot/</x:v>
      </x:c>
      <x:c r="D21" s="8" t="str">
        <x:v>Requirements; Elements; 3D Model.</x:v>
      </x:c>
      <x:c r="E21" s="8" t="str">
        <x:v>Definições de zonas, elementos, contenção, adjacência, interseção e ligações a modelos 3D.</x:v>
      </x:c>
      <x:c r="F21" s="8" t="str">
        <x:v>01_Referencias/03_Consulta_e_Validacao/BOT_Especificacao.url</x:v>
      </x:c>
    </x:row>
    <x:row r="22" ht="75" customHeight="1">
      <x:c r="A22" s="10" t="str">
        <x:v>T02</x:v>
      </x:c>
      <x:c r="B22" s="10" t="str">
        <x:v>BUILDINGSMART INTERNATIONAL. IFC4 ADD2 TC1: IfcRelSpaceBoundary.</x:v>
      </x:c>
      <x:c r="C22" s="10" t="str">
        <x:v>https://standards.buildingsmart.org/IFC/RELEASE/IFC4/ADD2_TC1/HTML/schema/ifcproductextension/lexical/ifcrelspaceboundary.htm</x:v>
      </x:c>
      <x:c r="D22" s="10" t="str">
        <x:v>Semantic definitions; ConnectionGeometry.</x:v>
      </x:c>
      <x:c r="E22" s="10" t="str">
        <x:v>Distingue limites lógicos e geometria associada. A ausência da relação não comprova ausência de geometria do espaço.</x:v>
      </x:c>
      <x:c r="F22" s="10" t="str">
        <x:v>01_Referencias/03_Consulta_e_Validacao/IFC4_Limites_dos_Espacos.url</x:v>
      </x:c>
    </x:row>
    <x:row r="23" ht="75" customHeight="1">
      <x:c r="A23" s="8" t="str">
        <x:v>T03</x:v>
      </x:c>
      <x:c r="B23" s="8" t="str">
        <x:v>BUILDINGSMART INTERNATIONAL. IFC4: IfcRelVoidsElement e IfcRelFillsElement.</x:v>
      </x:c>
      <x:c r="C23" s="8" t="str">
        <x:v>https://standards.buildingsmart.org/IFC/RELEASE/IFC4/ADD2_TC1/HTML/schema/ifcproductextension/lexical/ifcrelvoidselement.htm</x:v>
      </x:c>
      <x:c r="D23" s="8" t="str">
        <x:v>RelatingBuildingElement; RelatedOpeningElement; RelatingOpeningElement; RelatedBuildingElement.</x:v>
      </x:c>
      <x:c r="E23" s="8" t="str">
        <x:v>Fundamenta os vínculos parede-abertura-preenchimento. A combinação específica usada na inspeção foi definida para este estudo.</x:v>
      </x:c>
      <x:c r="F23" s="8" t="str">
        <x:v>01_Referencias/03_Consulta_e_Validacao/IFC4_Relacoes_Aberturas_e_Preenchimentos.html</x:v>
      </x:c>
    </x:row>
    <x:row r="24" ht="75" customHeight="1">
      <x:c r="A24" s="10" t="str">
        <x:v>T04</x:v>
      </x:c>
      <x:c r="B24" s="10" t="str">
        <x:v>IFCOPENSHELL. Documentação Python: util.element e util.unit. Versão utilizada 0.8.4.</x:v>
      </x:c>
      <x:c r="C24" s="10" t="str">
        <x:v>https://docs.ifcopenshell.org/autoapi/ifcopenshell/util/element/index.html</x:v>
      </x:c>
      <x:c r="D24" s="10" t="str">
        <x:v>get_aggregate; get_container(element, ifc_class="IfcBuildingStorey"); util.unit.calculate_unit_scale.</x:v>
      </x:c>
      <x:c r="E24" s="10" t="str">
        <x:v>Leitura de contêineres espaciais e unidades. A inspeção não calcula geometria.</x:v>
      </x:c>
      <x:c r="F24" s="10" t="str">
        <x:v>03_Procedimentos/03_Matriz_de_Rastreabilidade/Inspecao_Matriz_v01.py</x:v>
      </x:c>
    </x:row>
    <x:row r="25" ht="75" customHeight="1">
      <x:c r="A25" s="8" t="str">
        <x:v>T05</x:v>
      </x:c>
      <x:c r="B25" s="8" t="str">
        <x:v>RDFLIB. Navigating Graphs. Documentação oficial. Versão utilizada 7.1.4.</x:v>
      </x:c>
      <x:c r="C25" s="8" t="str">
        <x:v>https://rdflib.readthedocs.io/en/latest/intro_to_graphs/</x:v>
      </x:c>
      <x:c r="D25" s="8" t="str">
        <x:v>Basic Triple Matching.</x:v>
      </x:c>
      <x:c r="E25" s="8" t="str">
        <x:v>Leitura de triplas, recursos, predicados e valores. O protocolo de comparação é específico deste estudo.</x:v>
      </x:c>
      <x:c r="F25" s="8" t="str">
        <x:v>01_Referencias/03_Consulta_e_Validacao/RDFLib_Navegacao_em_Grafos_Trechos.pdf</x:v>
      </x:c>
    </x:row>
    <x:row r="26" ht="75" customHeight="1">
      <x:c r="A26" s="10" t="str">
        <x:v>V01</x:v>
      </x:c>
      <x:c r="B26" s="10" t="str">
        <x:v>JÄKEL, J.-I. et al. Ontology for a Knowledge-Based Deconstruction of Buildings Based on BIM Models and Linked Data Principles. Buildings, 15(5), 720, 2025. DOI 10.3390/buildings15050720.</x:v>
      </x:c>
      <x:c r="C26" s="10" t="str">
        <x:v>https://doi.org/10.3390/buildings15050720</x:v>
      </x:c>
      <x:c r="D26" s="10" t="str">
        <x:v>Seção 5.2; exemplos SHACL nas tabelas 3-5.</x:v>
      </x:c>
      <x:c r="E26" s="10" t="str">
        <x:v>Referência da estratégia de consulta e validação adaptada nos notebooks. As regras da creche não são regras publicadas para esse caso pelos autores.</x:v>
      </x:c>
      <x:c r="F26" s="10" t="str">
        <x:v>01_Referencias/03_Consulta_e_Validacao/Ontology for a Knowledge-Based Deconstruction of Buildings Based on BIM Models and Linked Data Principles.pdf</x:v>
      </x:c>
    </x:row>
    <x:row r="27" ht="75" customHeight="1">
      <x:c r="A27" s="8" t="str">
        <x:v>P01</x:v>
      </x:c>
      <x:c r="B27" s="8" t="str">
        <x:v>PUC-Rio. Programa de CIV2155: BIM - Novas Tecnologias e Metodologias na Engenharia. 2º semestre de 2026.</x:v>
      </x:c>
      <x:c r="C27" s="8" t="str"/>
      <x:c r="D27" s="8" t="str">
        <x:v>p. 1-2.</x:v>
      </x:c>
      <x:c r="E27" s="8" t="str">
        <x:v>Vinculação curricular. O enquadramento de cada requisito aos temas é uma interpretação analítica deste estudo.</x:v>
      </x:c>
      <x:c r="F27" s="8" t="str">
        <x:v>00_Orientacoes/CIV2155_Programa_da_Disciplina.pdf</x:v>
      </x:c>
    </x:row>
    <x:row r="28" ht="75" customHeight="1">
      <x:c r="A28" s="10" t="str">
        <x:v>D01</x:v>
      </x:c>
      <x:c r="B28" s="10" t="str">
        <x:v>TIPO2-ARQ-DTV_R03.ifc</x:v>
      </x:c>
      <x:c r="C28" s="10" t="str"/>
      <x:c r="D28" s="10" t="str">
        <x:v>Arquivo local. SHA-256 no registro da inspeção.</x:v>
      </x:c>
      <x:c r="E28" s="10" t="str">
        <x:v>Fonte empírica da matriz.</x:v>
      </x:c>
      <x:c r="F28" s="10" t="str">
        <x:v>02_Dados_BIM/Arquitetura/TIPO2-ARQ-DTV_R03.ifc</x:v>
      </x:c>
    </x:row>
    <x:row r="29" ht="75" customHeight="1">
      <x:c r="A29" s="8" t="str">
        <x:v>D02</x:v>
      </x:c>
      <x:c r="B29" s="8" t="str">
        <x:v>TIPO2-SMT-MOD_R03.ifc</x:v>
      </x:c>
      <x:c r="C29" s="8" t="str"/>
      <x:c r="D29" s="8" t="str">
        <x:v>Arquivo local. SHA-256 no registro da inspeção.</x:v>
      </x:c>
      <x:c r="E29" s="8" t="str">
        <x:v>Fonte empírica da matriz.</x:v>
      </x:c>
      <x:c r="F29" s="8" t="str">
        <x:v>02_Dados_BIM/Estrutura_SMT/TIPO2-SMT-MOD_R03.ifc</x:v>
      </x:c>
    </x:row>
    <x:row r="30" ht="75" customHeight="1">
      <x:c r="A30" s="10" t="str">
        <x:v>D03</x:v>
      </x:c>
      <x:c r="B30" s="10" t="str">
        <x:v>01_Arquitetura_Recorte_Espacial_Corrigido.ttl</x:v>
      </x:c>
      <x:c r="C30" s="10" t="str"/>
      <x:c r="D30" s="10" t="str">
        <x:v>Arquivo local. SHA-256 no registro da inspeção.</x:v>
      </x:c>
      <x:c r="E30" s="10" t="str">
        <x:v>Fonte empírica da matriz.</x:v>
      </x:c>
      <x:c r="F30" s="10" t="str">
        <x:v>04_Resultados/01_Conversao_Arquitetura/01_Arquitetura_Recorte_Espacial_Corrigido.ttl</x:v>
      </x:c>
    </x:row>
    <x:row r="31" ht="75" customHeight="1">
      <x:c r="A31" s="8" t="str">
        <x:v>D04</x:v>
      </x:c>
      <x:c r="B31" s="8" t="str">
        <x:v>grafo.ttl</x:v>
      </x:c>
      <x:c r="C31" s="8" t="str"/>
      <x:c r="D31" s="8" t="str">
        <x:v>Arquivo local. SHA-256 no registro da inspeção.</x:v>
      </x:c>
      <x:c r="E31" s="8" t="str">
        <x:v>Fonte empírica da matriz.</x:v>
      </x:c>
      <x:c r="F31" s="8" t="str">
        <x:v>04_Resultados/02_Diagnostico_Integracao/arquitetura/grafo.ttl</x:v>
      </x:c>
    </x:row>
    <x:row r="32" ht="75" customHeight="1">
      <x:c r="A32" s="10" t="str">
        <x:v>D05</x:v>
      </x:c>
      <x:c r="B32" s="10" t="str">
        <x:v>grafo.ttl</x:v>
      </x:c>
      <x:c r="C32" s="10" t="str"/>
      <x:c r="D32" s="10" t="str">
        <x:v>Arquivo local. SHA-256 no registro da inspeção.</x:v>
      </x:c>
      <x:c r="E32" s="10" t="str">
        <x:v>Fonte empírica da matriz.</x:v>
      </x:c>
      <x:c r="F32" s="10" t="str">
        <x:v>04_Resultados/02_Diagnostico_Integracao/estrutura/grafo.ttl</x:v>
      </x:c>
    </x:row>
    <x:row r="33" ht="75" customHeight="1">
      <x:c r="A33" s="8" t="str">
        <x:v>D06</x:v>
      </x:c>
      <x:c r="B33" s="8" t="str">
        <x:v>manifesto_estudo.json</x:v>
      </x:c>
      <x:c r="C33" s="8" t="str"/>
      <x:c r="D33" s="8" t="str">
        <x:v>Arquivo local. SHA-256 no registro da inspeção.</x:v>
      </x:c>
      <x:c r="E33" s="8" t="str">
        <x:v>Fonte empírica da matriz.</x:v>
      </x:c>
      <x:c r="F33" s="8" t="str">
        <x:v>04_Resultados/02_Diagnostico_Integracao/manifesto_estudo.json</x:v>
      </x:c>
    </x:row>
    <x:row r="34" ht="75" customHeight="1">
      <x:c r="A34" s="10" t="str">
        <x:v>G01</x:v>
      </x:c>
      <x:c r="B34" s="10" t="str">
        <x:v>LILIS et al. (2025). BIM-based semantic enrichment and knowledge graph generation via geometric relation checking.</x:v>
      </x:c>
      <x:c r="C34" s="10" t="str">
        <x:v>https://doi.org/10.1016/j.autcon.2025.106081</x:v>
      </x:c>
      <x:c r="D34" s="10" t="str">
        <x:v>§§3.2–3.4; Figura 4.</x:v>
      </x:c>
      <x:c r="E34" s="10" t="str">
        <x:v>Adaptação Python já utilizada no Notebook 1; GRC C++/BSP não executado.</x:v>
      </x:c>
      <x:c r="F34" s="10" t="str">
        <x:v>01_Referencias/09_Grafos_e_Modelagem_da_Informacao/01_Enriquecimento_Semantico/BIM-based semantic enrichment and knowledge graph generation via geometric relation checking.pdf</x:v>
      </x:c>
    </x:row>
    <x:row r="35" ht="75" customHeight="1">
      <x:c r="A35" s="8" t="str">
        <x:v>G02</x:v>
      </x:c>
      <x:c r="B35" s="8" t="str">
        <x:v>HUITZIL et al. (2024). Semantic Building Information Modeling: An empirical evaluation of existing tools.</x:v>
      </x:c>
      <x:c r="C35" s="8" t="str">
        <x:v>https://doi.org/10.1016/j.jii.2024.100731</x:v>
      </x:c>
      <x:c r="D35" s="8" t="str">
        <x:v>§§5 e 6.3.3.</x:v>
      </x:c>
      <x:c r="E35" s="8" t="str">
        <x:v>Preservação e adequação da representação; benchmark dos autores não reproduzido.</x:v>
      </x:c>
      <x:c r="F35" s="8" t="str">
        <x:v>01_Referencias/02_Conversao_IFC_LBD/Semantic Building Information Modeling - An empirical evaluation of existing tools.pdf</x:v>
      </x:c>
    </x:row>
    <x:row r="36" ht="75" customHeight="1">
      <x:c r="A36" s="10" t="str">
        <x:v>G03</x:v>
      </x:c>
      <x:c r="B36" s="10" t="str">
        <x:v>ZHANG; BEETZ; DE VRIES (2018). BimSPARQL.</x:v>
      </x:c>
      <x:c r="C36" s="10" t="str">
        <x:v>https://doi.org/10.3233/SW-180297</x:v>
      </x:c>
      <x:c r="D36" s="10" t="str">
        <x:v>Padrão geom:hasGeometry e geom:asBody.</x:v>
      </x:c>
      <x:c r="E36" s="10" t="str">
        <x:v>Geometria TIN Z do RDF examinado; classe Java não executada.</x:v>
      </x:c>
      <x:c r="F36" s="10" t="str">
        <x:v>01_Referencias/07_Geometria_e_Relacoes_Espaciais/Zhang_2018_BimSPARQL/BimSPARQL - Domain-specific functional SPARQL extensions for querying RDF building data.pdf</x:v>
      </x:c>
    </x:row>
    <x:row r="37" ht="75" customHeight="1">
      <x:c r="A37" s="8" t="str">
        <x:v>D07</x:v>
      </x:c>
      <x:c r="B37" s="8" t="str">
        <x:v>arquitetura_enriquecida.ttl</x:v>
      </x:c>
      <x:c r="C37" s="8" t="str"/>
      <x:c r="D37" s="8" t="str">
        <x:v>Arquivo empírico; SHA-256 em entradas.</x:v>
      </x:c>
      <x:c r="E37" s="8" t="str">
        <x:v>Fonte do diagnóstico da revisão 2.</x:v>
      </x:c>
      <x:c r="F37" s="8" t="str">
        <x:v>04_Resultados/07_Notebook1_Revisao_v03/resultados/rdf/arquitetura_enriquecida.ttl</x:v>
      </x:c>
    </x:row>
    <x:row r="38" ht="75" customHeight="1">
      <x:c r="A38" s="10" t="str">
        <x:v>D08</x:v>
      </x:c>
      <x:c r="B38" s="10" t="str">
        <x:v>conferencia_cozinha_dados.json</x:v>
      </x:c>
      <x:c r="C38" s="10" t="str"/>
      <x:c r="D38" s="10" t="str">
        <x:v>Arquivo empírico; SHA-256 em entradas.</x:v>
      </x:c>
      <x:c r="E38" s="10" t="str">
        <x:v>Fonte do diagnóstico da revisão 2.</x:v>
      </x:c>
      <x:c r="F38" s="10" t="str">
        <x:v>04_Resultados/08_Conferencia_Cozinha/conferencia_cozinha_dados.json</x:v>
      </x:c>
    </x:row>
    <x:row r="39">
      <x:c r="A39" s="2"/>
      <x:c r="B39" s="2"/>
      <x:c r="C39" s="2"/>
      <x:c r="D39" s="2"/>
      <x:c r="E39" s="2"/>
      <x:c r="F39" s="2"/>
    </x:row>
  </x:sheetData>
  <x:pageMargins left="0.7" right="0.7" top="0.75" bottom="0.75" header="0.3" footer="0.3"/>
  <x:tableParts count="1">
    <x:tablePart xmlns:r="http://schemas.openxmlformats.org/officeDocument/2006/relationships" r:id="R82171ca67f6340d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8.130000114440918" hidden="0" customWidth="1"/>
    <x:col min="2" max="2" width="9.380000114440918" hidden="0" customWidth="1"/>
    <x:col min="3" max="3" width="18.1299991607666" hidden="0" customWidth="1"/>
    <x:col min="4" max="4" width="13.75" hidden="0" customWidth="1"/>
    <x:col min="5" max="5" width="21.25" hidden="0" customWidth="1"/>
    <x:col min="6" max="6" width="20" hidden="0" customWidth="1"/>
    <x:col min="7" max="7" width="40" hidden="0" customWidth="1"/>
    <x:col min="8" max="8" width="48.75" hidden="0" customWidth="1"/>
    <x:col min="9" max="9" width="30" hidden="0" customWidth="1"/>
    <x:col min="10" max="10" width="47.5" hidden="0" customWidth="1"/>
    <x:col min="11" max="11" width="28.75" hidden="0" customWidth="1"/>
    <x:col min="12" max="12" width="33.75" hidden="0" customWidth="1"/>
    <x:col min="13" max="13" width="33.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7" customHeight="1">
      <x:c r="A2" s="3" t="str">
        <x:v>CQ2 · conferência da cozinha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5" t="str">
        <x:v>Oito cadeias do IFC. Fonte D08; método G01/G02; a lista não contém somente portas.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>
      <x:c r="A4" s="2" t="str">
        <x:v>Campos amarelos: registro futuro de conferência independente. O diagnóstico inicial não é substituído por essa edição.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 t="str">
        <x:v>A03 e A04 estão separados da cozinha em Y. Volume positivo não equivale a função ou acessibilidade.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40" customHeight="1">
      <x:c r="A8" s="15" t="str">
        <x:v>Caso</x:v>
      </x:c>
      <x:c r="B8" s="15" t="str">
        <x:v>Parede</x:v>
      </x:c>
      <x:c r="C8" s="15" t="str">
        <x:v>Classe do preenchimento</x:v>
      </x:c>
      <x:c r="D8" s="15" t="str">
        <x:v>Nome</x:v>
      </x:c>
      <x:c r="E8" s="15" t="str">
        <x:v>Volume comum da abertura (m³)</x:v>
      </x:c>
      <x:c r="F8" s="15" t="str">
        <x:v>Separação em Y (m)</x:v>
      </x:c>
      <x:c r="G8" s="15" t="str">
        <x:v>Teste de faces</x:v>
      </x:c>
      <x:c r="H8" s="15" t="str">
        <x:v>Diagnóstico inicial</x:v>
      </x:c>
      <x:c r="I8" s="15" t="str">
        <x:v>Conferência independente</x:v>
      </x:c>
      <x:c r="J8" s="15" t="str">
        <x:v>Referência / observação</x:v>
      </x:c>
      <x:c r="K8" s="15" t="str">
        <x:v>Registro da conferência</x:v>
      </x:c>
      <x:c r="L8" s="15" t="str">
        <x:v>GUID da abertura</x:v>
      </x:c>
      <x:c r="M8" s="15" t="str">
        <x:v>GUID do preenchimento</x:v>
      </x:c>
    </x:row>
    <x:row r="9" ht="55" customHeight="1">
      <x:c r="A9" s="8" t="str">
        <x:v>A01</x:v>
      </x:c>
      <x:c r="B9" s="8" t="str">
        <x:v>P01</x:v>
      </x:c>
      <x:c r="C9" s="8" t="str">
        <x:v>IfcDoor</x:v>
      </x:c>
      <x:c r="D9" s="8" t="str">
        <x:v>PA2</x:v>
      </x:c>
      <x:c r="E9" s="24" t="n">
        <x:v>0.26331750000004395</x:v>
      </x:c>
      <x:c r="F9" s="22" t="n">
        <x:v>0</x:v>
      </x:c>
      <x:c r="G9" s="8" t="str">
        <x:v>Sem contato de faces no critério</x:v>
      </x:c>
      <x:c r="H9" s="8" t="str">
        <x:v>Interseção de volumes; atendimento arquitetônico ainda não demonstrado.</x:v>
      </x:c>
      <x:c r="I9" s="26" t="str">
        <x:v>Não realizada</x:v>
      </x:c>
      <x:c r="J9" s="26" t="str"/>
      <x:c r="K9" s="8" t="str">
        <x:f>IF(I9="Não realizada","Conferência pendente",IF(J9="","Falta referência","Conferência registrada"))</x:f>
        <x:v>Conferência pendente</x:v>
      </x:c>
      <x:c r="L9" s="8" t="str">
        <x:v>0myL3D$8PQoJaIwSJlJmZU</x:v>
      </x:c>
      <x:c r="M9" s="8" t="str">
        <x:v>1ZNEbr8yzAzwIfNr8DLfEB</x:v>
      </x:c>
    </x:row>
    <x:row r="10" ht="55" customHeight="1">
      <x:c r="A10" s="10" t="str">
        <x:v>A02</x:v>
      </x:c>
      <x:c r="B10" s="10" t="str">
        <x:v>P01</x:v>
      </x:c>
      <x:c r="C10" s="10" t="str">
        <x:v>IfcDoor</x:v>
      </x:c>
      <x:c r="D10" s="10" t="str">
        <x:v>PA1</x:v>
      </x:c>
      <x:c r="E10" s="25" t="n">
        <x:v>0.32676750000004595</x:v>
      </x:c>
      <x:c r="F10" s="23" t="n">
        <x:v>0</x:v>
      </x:c>
      <x:c r="G10" s="10" t="str">
        <x:v>Sem contato de faces no critério</x:v>
      </x:c>
      <x:c r="H10" s="10" t="str">
        <x:v>Interseção de volumes; atendimento arquitetônico ainda não demonstrado.</x:v>
      </x:c>
      <x:c r="I10" s="26" t="str">
        <x:v>Não realizada</x:v>
      </x:c>
      <x:c r="J10" s="26" t="str"/>
      <x:c r="K10" s="10" t="str">
        <x:f>IF(I10="Não realizada","Conferência pendente",IF(J10="","Falta referência","Conferência registrada"))</x:f>
        <x:v>Conferência pendente</x:v>
      </x:c>
      <x:c r="L10" s="10" t="str">
        <x:v>1Wd1axI5BMaK18bgM5VEWC</x:v>
      </x:c>
      <x:c r="M10" s="10" t="str">
        <x:v>22ZRfsRw51vP3lSdz$OaVX</x:v>
      </x:c>
    </x:row>
    <x:row r="11" ht="55" customHeight="1">
      <x:c r="A11" s="8" t="str">
        <x:v>A03</x:v>
      </x:c>
      <x:c r="B11" s="8" t="str">
        <x:v>P01</x:v>
      </x:c>
      <x:c r="C11" s="8" t="str">
        <x:v>IfcWindow</x:v>
      </x:c>
      <x:c r="D11" s="8" t="str">
        <x:v>JA-06</x:v>
      </x:c>
      <x:c r="E11" s="24" t="n">
        <x:v>0</x:v>
      </x:c>
      <x:c r="F11" s="22" t="n">
        <x:v>0.48876704699069684</x:v>
      </x:c>
      <x:c r="G11" s="8" t="str">
        <x:v>Separada no filtro espacial de 2 mm</x:v>
      </x:c>
      <x:c r="H11" s="8" t="str">
        <x:v>Abertura separada da cozinha; cadeia via parede não comprova vínculo.</x:v>
      </x:c>
      <x:c r="I11" s="26" t="str">
        <x:v>Não realizada</x:v>
      </x:c>
      <x:c r="J11" s="26" t="str"/>
      <x:c r="K11" s="8" t="str">
        <x:f>IF(I11="Não realizada","Conferência pendente",IF(J11="","Falta referência","Conferência registrada"))</x:f>
        <x:v>Conferência pendente</x:v>
      </x:c>
      <x:c r="L11" s="8" t="str">
        <x:v>2r$cKNmroT$qxuf3abRC$O</x:v>
      </x:c>
      <x:c r="M11" s="8" t="str">
        <x:v>3aeAlxh_13aAsFE9GaRC63</x:v>
      </x:c>
    </x:row>
    <x:row r="12" ht="55" customHeight="1">
      <x:c r="A12" s="10" t="str">
        <x:v>A04</x:v>
      </x:c>
      <x:c r="B12" s="10" t="str">
        <x:v>P01</x:v>
      </x:c>
      <x:c r="C12" s="10" t="str">
        <x:v>IfcDoor</x:v>
      </x:c>
      <x:c r="D12" s="10" t="str">
        <x:v>PA2</x:v>
      </x:c>
      <x:c r="E12" s="25" t="n">
        <x:v>0</x:v>
      </x:c>
      <x:c r="F12" s="23" t="n">
        <x:v>3.0494184196254785</x:v>
      </x:c>
      <x:c r="G12" s="10" t="str">
        <x:v>Separada no filtro espacial de 2 mm</x:v>
      </x:c>
      <x:c r="H12" s="10" t="str">
        <x:v>Abertura separada da cozinha; cadeia via parede não comprova vínculo.</x:v>
      </x:c>
      <x:c r="I12" s="26" t="str">
        <x:v>Não realizada</x:v>
      </x:c>
      <x:c r="J12" s="26" t="str"/>
      <x:c r="K12" s="10" t="str">
        <x:f>IF(I12="Não realizada","Conferência pendente",IF(J12="","Falta referência","Conferência registrada"))</x:f>
        <x:v>Conferência pendente</x:v>
      </x:c>
      <x:c r="L12" s="10" t="str">
        <x:v>3JJUxtOAPr5m9wwWZzHFVF</x:v>
      </x:c>
      <x:c r="M12" s="10" t="str">
        <x:v>1TYUzaGPfAJRH9yn9Ryl8A</x:v>
      </x:c>
    </x:row>
    <x:row r="13" ht="55" customHeight="1">
      <x:c r="A13" s="8" t="str">
        <x:v>A05</x:v>
      </x:c>
      <x:c r="B13" s="8" t="str">
        <x:v>P01</x:v>
      </x:c>
      <x:c r="C13" s="8" t="str">
        <x:v>IfcWindow</x:v>
      </x:c>
      <x:c r="D13" s="8" t="str">
        <x:v>JA-09</x:v>
      </x:c>
      <x:c r="E13" s="24" t="n">
        <x:v>0.07875000000001402</x:v>
      </x:c>
      <x:c r="F13" s="22" t="n">
        <x:v>0</x:v>
      </x:c>
      <x:c r="G13" s="8" t="str">
        <x:v>Sem contato de faces no critério</x:v>
      </x:c>
      <x:c r="H13" s="8" t="str">
        <x:v>Interseção de volumes; atendimento arquitetônico ainda não demonstrado.</x:v>
      </x:c>
      <x:c r="I13" s="26" t="str">
        <x:v>Não realizada</x:v>
      </x:c>
      <x:c r="J13" s="26" t="str"/>
      <x:c r="K13" s="8" t="str">
        <x:f>IF(I13="Não realizada","Conferência pendente",IF(J13="","Falta referência","Conferência registrada"))</x:f>
        <x:v>Conferência pendente</x:v>
      </x:c>
      <x:c r="L13" s="8" t="str">
        <x:v>3MO8UGVaFjiCmQc5R8Rbo7</x:v>
      </x:c>
      <x:c r="M13" s="8" t="str">
        <x:v>2rpo8JwSv5ChvJw5HNm$2i</x:v>
      </x:c>
    </x:row>
    <x:row r="14" ht="55" customHeight="1">
      <x:c r="A14" s="10" t="str">
        <x:v>A06</x:v>
      </x:c>
      <x:c r="B14" s="10" t="str">
        <x:v>P02</x:v>
      </x:c>
      <x:c r="C14" s="10" t="str">
        <x:v>IfcWindow</x:v>
      </x:c>
      <x:c r="D14" s="10" t="str">
        <x:v>JA-06</x:v>
      </x:c>
      <x:c r="E14" s="25" t="n">
        <x:v>0.2362499999999996</x:v>
      </x:c>
      <x:c r="F14" s="23" t="n">
        <x:v>0</x:v>
      </x:c>
      <x:c r="G14" s="10" t="str">
        <x:v>Sem contato de faces no critério</x:v>
      </x:c>
      <x:c r="H14" s="10" t="str">
        <x:v>Interseção de volumes; atendimento arquitetônico ainda não demonstrado.</x:v>
      </x:c>
      <x:c r="I14" s="26" t="str">
        <x:v>Não realizada</x:v>
      </x:c>
      <x:c r="J14" s="26" t="str"/>
      <x:c r="K14" s="10" t="str">
        <x:f>IF(I14="Não realizada","Conferência pendente",IF(J14="","Falta referência","Conferência registrada"))</x:f>
        <x:v>Conferência pendente</x:v>
      </x:c>
      <x:c r="L14" s="10" t="str">
        <x:v>1OIcCLlXFtN16wff1orSEG</x:v>
      </x:c>
      <x:c r="M14" s="10" t="str">
        <x:v>2Psura1WP8A94fLaBoEm9B</x:v>
      </x:c>
    </x:row>
    <x:row r="15" ht="55" customHeight="1">
      <x:c r="A15" s="8" t="str">
        <x:v>A07</x:v>
      </x:c>
      <x:c r="B15" s="8" t="str">
        <x:v>P04</x:v>
      </x:c>
      <x:c r="C15" s="8" t="str">
        <x:v>IfcWall</x:v>
      </x:c>
      <x:c r="D15" s="8" t="str">
        <x:v>AL25</x:v>
      </x:c>
      <x:c r="E15" s="24" t="n">
        <x:v>0</x:v>
      </x:c>
      <x:c r="F15" s="22" t="n">
        <x:v>0</x:v>
      </x:c>
      <x:c r="G15" s="8" t="str">
        <x:v>Adjacência no limiar numérico</x:v>
      </x:c>
      <x:c r="H15" s="8" t="str">
        <x:v>Contato no critério geométrico; atendimento arquitetônico ainda não demonstrado.</x:v>
      </x:c>
      <x:c r="I15" s="26" t="str">
        <x:v>Não realizada</x:v>
      </x:c>
      <x:c r="J15" s="26" t="str"/>
      <x:c r="K15" s="8" t="str">
        <x:f>IF(I15="Não realizada","Conferência pendente",IF(J15="","Falta referência","Conferência registrada"))</x:f>
        <x:v>Conferência pendente</x:v>
      </x:c>
      <x:c r="L15" s="8" t="str">
        <x:v>3jgqqodbWPKg146xEcFt2w</x:v>
      </x:c>
      <x:c r="M15" s="8" t="str">
        <x:v>1WwmmrGEXC28n24XX__DfU</x:v>
      </x:c>
    </x:row>
    <x:row r="16" ht="55" customHeight="1">
      <x:c r="A16" s="10" t="str">
        <x:v>A08</x:v>
      </x:c>
      <x:c r="B16" s="10" t="str">
        <x:v>P08</x:v>
      </x:c>
      <x:c r="C16" s="10" t="str">
        <x:v>IfcDoor</x:v>
      </x:c>
      <x:c r="D16" s="10" t="str">
        <x:v>PM2</x:v>
      </x:c>
      <x:c r="E16" s="25" t="n">
        <x:v>0.26963999999999566</x:v>
      </x:c>
      <x:c r="F16" s="23" t="n">
        <x:v>0</x:v>
      </x:c>
      <x:c r="G16" s="10" t="str">
        <x:v>Sem contato de faces no critério</x:v>
      </x:c>
      <x:c r="H16" s="10" t="str">
        <x:v>Interseção de volumes; atendimento arquitetônico ainda não demonstrado.</x:v>
      </x:c>
      <x:c r="I16" s="26" t="str">
        <x:v>Não realizada</x:v>
      </x:c>
      <x:c r="J16" s="26" t="str"/>
      <x:c r="K16" s="10" t="str">
        <x:f>IF(I16="Não realizada","Conferência pendente",IF(J16="","Falta referência","Conferência registrada"))</x:f>
        <x:v>Conferência pendente</x:v>
      </x:c>
      <x:c r="L16" s="10" t="str">
        <x:v>1x71j$dxyYEEoncuc4VkyQ</x:v>
      </x:c>
      <x:c r="M16" s="10" t="str">
        <x:v>2RDqryaovC_OblAlg91p4L</x:v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</x:sheetData>
  <x:conditionalFormatting sqref="K9:K16">
    <x:cfRule type="expression" dxfId="3" priority="1">
      <x:formula>$K9="Falta referência"</x:formula>
    </x:cfRule>
  </x:conditionalFormatting>
  <x:dataValidations count="1">
    <x:dataValidation type="list" sqref="I9:I16">
      <x:formula1>"Não realizada,Confirmada com referência,Refutada com referência,Indeterminada"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311ca0de5449f3"/>
  </x:tableParts>
</x:worksheet>
</file>